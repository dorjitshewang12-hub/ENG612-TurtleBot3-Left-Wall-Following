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line Data" sheetId="2" state="visible" r:id="rId4"/>
    <sheet name="Dual PID Data" sheetId="3" state="visible" r:id="rId5"/>
    <sheet name="Corners" sheetId="4" state="visible" r:id="rId6"/>
    <sheet name="Observa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<sst xmlns="http://schemas.openxmlformats.org/spreadsheetml/2006/main" count="327" uniqueCount="81">
  <si>
    <t xml:space="preserve">Wall-following performance on the real TurtleBot3 (FOLLOW state only)</t>
  </si>
  <si>
    <t xml:space="preserve">Target distance: 0.30 m. Both runs on 25 Oct 2026, same arena.</t>
  </si>
  <si>
    <t xml:space="preserve">Metric</t>
  </si>
  <si>
    <t xml:space="preserve">Baseline</t>
  </si>
  <si>
    <t xml:space="preserve">Dual PID</t>
  </si>
  <si>
    <t xml:space="preserve">Dual - Baseline</t>
  </si>
  <si>
    <t xml:space="preserve">How it is calculated</t>
  </si>
  <si>
    <t xml:space="preserve">Controller design</t>
  </si>
  <si>
    <t xml:space="preserve">1 angular PID (Kp 1.0, Ki 0.01, Kd 0.2); speed rule 0.08 / 0.04 m/s</t>
  </si>
  <si>
    <t xml:space="preserve">Angular PID (Kp 1.2, Kd 0.3) + speed PID (Kp_v 0.16); two-beam wall estimate</t>
  </si>
  <si>
    <t xml:space="preserve">FOLLOW samples</t>
  </si>
  <si>
    <t xml:space="preserve">Log lines in FOLLOW state</t>
  </si>
  <si>
    <t xml:space="preserve">Corners completed</t>
  </si>
  <si>
    <t xml:space="preserve">Turns listed in the Corners sheet</t>
  </si>
  <si>
    <t xml:space="preserve">Run time logged (s)</t>
  </si>
  <si>
    <t xml:space="preserve">Time of the last log line</t>
  </si>
  <si>
    <t xml:space="preserve">RMS error (m)</t>
  </si>
  <si>
    <t xml:space="preserve">sqrt(mean(error^2))</t>
  </si>
  <si>
    <t xml:space="preserve">RMS error (cm)</t>
  </si>
  <si>
    <t xml:space="preserve">RMS in centimetres</t>
  </si>
  <si>
    <t xml:space="preserve">Mean error (m)</t>
  </si>
  <si>
    <t xml:space="preserve">Average signed error (steady offset)</t>
  </si>
  <si>
    <t xml:space="preserve">Max error, largest magnitude (m)</t>
  </si>
  <si>
    <t xml:space="preserve">Signed value of the largest |error|</t>
  </si>
  <si>
    <t xml:space="preserve">Within +/-1 cm</t>
  </si>
  <si>
    <t xml:space="preserve">Share of FOLLOW samples with |error| &lt;= 0.01 m</t>
  </si>
  <si>
    <t xml:space="preserve">Within +/-2 cm</t>
  </si>
  <si>
    <t xml:space="preserve">Share of FOLLOW samples with |error| &lt;= 0.02 m</t>
  </si>
  <si>
    <t xml:space="preserve">Min left distance (m)</t>
  </si>
  <si>
    <t xml:space="preserve">Closest approach in FOLLOW</t>
  </si>
  <si>
    <t xml:space="preserve">Max left distance (m)</t>
  </si>
  <si>
    <t xml:space="preserve">Furthest distance in FOLLOW</t>
  </si>
  <si>
    <t xml:space="preserve">Mean speed in FOLLOW (m/s)</t>
  </si>
  <si>
    <t xml:space="preserve">Average cmd_v while following</t>
  </si>
  <si>
    <t xml:space="preserve">Mean corner turn time (s)</t>
  </si>
  <si>
    <t xml:space="preserve">Average of turn durations in Corners</t>
  </si>
  <si>
    <t xml:space="preserve">Errors during TURN_RIGHT are excluded: the PID is off while the robot rotates in place and the side beam sweeps across the corner.</t>
  </si>
  <si>
    <t xml:space="preserve">Values come from ~1 Hz log lines; the ros2 bag (/wall_error at ~8.7 Hz) gives finer detail for final plots.</t>
  </si>
  <si>
    <t xml:space="preserve">Time (s)</t>
  </si>
  <si>
    <t xml:space="preserve">State</t>
  </si>
  <si>
    <t xml:space="preserve">Left distance (m)</t>
  </si>
  <si>
    <t xml:space="preserve">Error (m)</t>
  </si>
  <si>
    <t xml:space="preserve">Front (m)</t>
  </si>
  <si>
    <t xml:space="preserve">Front-left (m)</t>
  </si>
  <si>
    <t xml:space="preserve">cmd_v (m/s)</t>
  </si>
  <si>
    <t xml:space="preserve">cmd_w (rad/s)</t>
  </si>
  <si>
    <t xml:space="preserve">Notes</t>
  </si>
  <si>
    <t xml:space="preserve">FOLLOW</t>
  </si>
  <si>
    <t xml:space="preserve">Source: real-robot terminal log of left_wall_follow, 25 Oct 2026, log lines at ~1 Hz.</t>
  </si>
  <si>
    <t xml:space="preserve">Error = 0.30 m target - left distance. Positive = too close to the wall.</t>
  </si>
  <si>
    <t xml:space="preserve">Blue values are copied from the log. Time = seconds since the first log line.</t>
  </si>
  <si>
    <t xml:space="preserve">TURN_RIGHT</t>
  </si>
  <si>
    <t xml:space="preserve">Source: real-robot terminal log of dual_wall_follow, 25 Oct 2026, log lines at ~1 Hz.</t>
  </si>
  <si>
    <t xml:space="preserve">Dual PID logs the two-beam corrected distance as "left" and does not log front-left.</t>
  </si>
  <si>
    <t xml:space="preserve">Controller</t>
  </si>
  <si>
    <t xml:space="preserve">Corner #</t>
  </si>
  <si>
    <t xml:space="preserve">Turn start (s)</t>
  </si>
  <si>
    <t xml:space="preserve">Turn end (s)</t>
  </si>
  <si>
    <t xml:space="preserve">Turn duration (s)</t>
  </si>
  <si>
    <t xml:space="preserve">Error before turn (m)</t>
  </si>
  <si>
    <t xml:space="preserve">Error after turn (m)</t>
  </si>
  <si>
    <t xml:space="preserve">Before = last FOLLOW sample before the turn; after = first FOLLOW sample after it. Blank = log ended first.</t>
  </si>
  <si>
    <t xml:space="preserve">Observations</t>
  </si>
  <si>
    <t xml:space="preserve">Topic</t>
  </si>
  <si>
    <t xml:space="preserve">Observation</t>
  </si>
  <si>
    <t xml:space="preserve">Accuracy is similar</t>
  </si>
  <si>
    <t xml:space="preserve">Both controllers keep RMS error near 1.3 cm. Baseline is slightly better within +/-2 cm; dual PID is slightly better within +/-1 cm. Neither is clearly more accurate on this arena.</t>
  </si>
  <si>
    <t xml:space="preserve">Speed is the main difference</t>
  </si>
  <si>
    <t xml:space="preserve">Baseline runs at 0.08 m/s and steps to 0.04 m/s near a wall. Dual PID ramps speed up after a corner and tapers it smoothly to 0.03 m/s before the next one, so its average speed is lower and a lap takes longer.</t>
  </si>
  <si>
    <t xml:space="preserve">Corner approach</t>
  </si>
  <si>
    <t xml:space="preserve">Dual PID reaches each corner at minimum speed with no step change, which is safer and smoother. Baseline arrives at 0.04 m/s after an abrupt change.</t>
  </si>
  <si>
    <t xml:space="preserve">Baseline drift cycle</t>
  </si>
  <si>
    <t xml:space="preserve">Baseline leaves each corner slightly far (about -0.012 m), drifts through zero and ends slightly close (about +0.019 m) before the next corner. It repeats on every wall, so it is systematic. Likely cause: a small heading error after the odometry-based turn, corrected slowly by a single side beam and Kp = 1.0.</t>
  </si>
  <si>
    <t xml:space="preserve">Corner turns are slower in dual PID</t>
  </si>
  <si>
    <t xml:space="preserve">Dual PID turns at up to 0.30 rad/s versus 0.40 rad/s in the baseline, so each 90 deg turn takes about 1.4 s longer. Together with the lower straight-line speed, this explains most of the longer run time.</t>
  </si>
  <si>
    <t xml:space="preserve">Start of run</t>
  </si>
  <si>
    <t xml:space="preserve">Both runs start with the largest error (about -0.03 to -0.04 m) because the robot was placed slightly further than 0.30 m from the wall.</t>
  </si>
  <si>
    <t xml:space="preserve">TURN_RIGHT excluded</t>
  </si>
  <si>
    <t xml:space="preserve">Errors up to about -0.1 m during turns are not controller errors; the PID is off while turning in place.</t>
  </si>
  <si>
    <t xml:space="preserve">Dual PID development</t>
  </si>
  <si>
    <t xml:space="preserve">Earlier dual PID versions failed: heavy filtering and a slew limit caused lag and overshoot, and a single side beam with higher Kp made the robot arc into the wall. The two-beam wall-angle estimate and a 0.35 m front trigger fixed both.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</si>
</sst>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"/>
    <numFmt numFmtId="167" formatCode="\+0.0;\-0.0;0.0"/>
    <numFmt numFmtId="168" formatCode="0.0000"/>
    <numFmt numFmtId="169" formatCode="\+0.0000;\-0.0000;0.0000"/>
    <numFmt numFmtId="170" formatCode="0.00"/>
    <numFmt numFmtId="171" formatCode="\+0.00;\-0.00;0.00"/>
    <numFmt numFmtId="172" formatCode="0.000"/>
    <numFmt numFmtId="173" formatCode="\+0.000;\-0.000;0.000"/>
    <numFmt numFmtId="174" formatCode="0%"/>
    <numFmt numFmtId="175" formatCode="\+0%;\-0%;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Distance error over time (Baseline)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'Baseline Data'!D1</c:f>
              <c:strCache>
                <c:ptCount val="1"/>
                <c:pt idx="0">
                  <c:v>Error (m)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'Baseline Data'!$A$2:$A$95</c:f>
              <c:strCache>
                <c:ptCount val="94"/>
                <c:pt idx="0">
                  <c:v>0.00</c:v>
                </c:pt>
                <c:pt idx="1">
                  <c:v>1.03</c:v>
                </c:pt>
                <c:pt idx="2">
                  <c:v>2.07</c:v>
                </c:pt>
                <c:pt idx="3">
                  <c:v>3.12</c:v>
                </c:pt>
                <c:pt idx="4">
                  <c:v>4.14</c:v>
                </c:pt>
                <c:pt idx="5">
                  <c:v>5.18</c:v>
                </c:pt>
                <c:pt idx="6">
                  <c:v>6.21</c:v>
                </c:pt>
                <c:pt idx="7">
                  <c:v>7.24</c:v>
                </c:pt>
                <c:pt idx="8">
                  <c:v>8.28</c:v>
                </c:pt>
                <c:pt idx="9">
                  <c:v>9.34</c:v>
                </c:pt>
                <c:pt idx="10">
                  <c:v>10.36</c:v>
                </c:pt>
                <c:pt idx="11">
                  <c:v>11.38</c:v>
                </c:pt>
                <c:pt idx="12">
                  <c:v>12.43</c:v>
                </c:pt>
                <c:pt idx="13">
                  <c:v>13.46</c:v>
                </c:pt>
                <c:pt idx="14">
                  <c:v>14.48</c:v>
                </c:pt>
                <c:pt idx="15">
                  <c:v>15.51</c:v>
                </c:pt>
                <c:pt idx="16">
                  <c:v>16.55</c:v>
                </c:pt>
                <c:pt idx="17">
                  <c:v>17.58</c:v>
                </c:pt>
                <c:pt idx="18">
                  <c:v>18.63</c:v>
                </c:pt>
                <c:pt idx="19">
                  <c:v>19.65</c:v>
                </c:pt>
                <c:pt idx="20">
                  <c:v>20.68</c:v>
                </c:pt>
                <c:pt idx="21">
                  <c:v>21.71</c:v>
                </c:pt>
                <c:pt idx="22">
                  <c:v>22.78</c:v>
                </c:pt>
                <c:pt idx="23">
                  <c:v>23.87</c:v>
                </c:pt>
                <c:pt idx="24">
                  <c:v>25.01</c:v>
                </c:pt>
                <c:pt idx="25">
                  <c:v>26.05</c:v>
                </c:pt>
                <c:pt idx="26">
                  <c:v>27.07</c:v>
                </c:pt>
                <c:pt idx="27">
                  <c:v>28.11</c:v>
                </c:pt>
                <c:pt idx="28">
                  <c:v>29.15</c:v>
                </c:pt>
                <c:pt idx="29">
                  <c:v>30.19</c:v>
                </c:pt>
                <c:pt idx="30">
                  <c:v>31.22</c:v>
                </c:pt>
                <c:pt idx="31">
                  <c:v>32.27</c:v>
                </c:pt>
                <c:pt idx="32">
                  <c:v>33.29</c:v>
                </c:pt>
                <c:pt idx="33">
                  <c:v>34.35</c:v>
                </c:pt>
                <c:pt idx="34">
                  <c:v>35.36</c:v>
                </c:pt>
                <c:pt idx="35">
                  <c:v>36.42</c:v>
                </c:pt>
                <c:pt idx="36">
                  <c:v>37.45</c:v>
                </c:pt>
                <c:pt idx="37">
                  <c:v>38.49</c:v>
                </c:pt>
                <c:pt idx="38">
                  <c:v>39.52</c:v>
                </c:pt>
                <c:pt idx="39">
                  <c:v>40.56</c:v>
                </c:pt>
                <c:pt idx="40">
                  <c:v>41.61</c:v>
                </c:pt>
                <c:pt idx="41">
                  <c:v>42.63</c:v>
                </c:pt>
                <c:pt idx="42">
                  <c:v>43.67</c:v>
                </c:pt>
                <c:pt idx="43">
                  <c:v>44.70</c:v>
                </c:pt>
                <c:pt idx="44">
                  <c:v>45.74</c:v>
                </c:pt>
                <c:pt idx="45">
                  <c:v>46.77</c:v>
                </c:pt>
                <c:pt idx="46">
                  <c:v>47.80</c:v>
                </c:pt>
                <c:pt idx="47">
                  <c:v>48.84</c:v>
                </c:pt>
                <c:pt idx="48">
                  <c:v>49.86</c:v>
                </c:pt>
                <c:pt idx="49">
                  <c:v>50.89</c:v>
                </c:pt>
                <c:pt idx="50">
                  <c:v>51.93</c:v>
                </c:pt>
                <c:pt idx="51">
                  <c:v>52.96</c:v>
                </c:pt>
                <c:pt idx="52">
                  <c:v>54.00</c:v>
                </c:pt>
                <c:pt idx="53">
                  <c:v>55.04</c:v>
                </c:pt>
                <c:pt idx="54">
                  <c:v>56.07</c:v>
                </c:pt>
                <c:pt idx="55">
                  <c:v>57.10</c:v>
                </c:pt>
                <c:pt idx="56">
                  <c:v>58.14</c:v>
                </c:pt>
                <c:pt idx="57">
                  <c:v>59.18</c:v>
                </c:pt>
                <c:pt idx="58">
                  <c:v>60.22</c:v>
                </c:pt>
                <c:pt idx="59">
                  <c:v>61.26</c:v>
                </c:pt>
                <c:pt idx="60">
                  <c:v>62.29</c:v>
                </c:pt>
                <c:pt idx="61">
                  <c:v>63.33</c:v>
                </c:pt>
                <c:pt idx="62">
                  <c:v>64.36</c:v>
                </c:pt>
                <c:pt idx="63">
                  <c:v>65.40</c:v>
                </c:pt>
                <c:pt idx="64">
                  <c:v>66.43</c:v>
                </c:pt>
                <c:pt idx="65">
                  <c:v>67.50</c:v>
                </c:pt>
                <c:pt idx="66">
                  <c:v>68.61</c:v>
                </c:pt>
                <c:pt idx="67">
                  <c:v>69.64</c:v>
                </c:pt>
                <c:pt idx="68">
                  <c:v>70.68</c:v>
                </c:pt>
                <c:pt idx="69">
                  <c:v>71.71</c:v>
                </c:pt>
                <c:pt idx="70">
                  <c:v>72.75</c:v>
                </c:pt>
                <c:pt idx="71">
                  <c:v>73.79</c:v>
                </c:pt>
                <c:pt idx="72">
                  <c:v>74.83</c:v>
                </c:pt>
                <c:pt idx="73">
                  <c:v>75.86</c:v>
                </c:pt>
                <c:pt idx="74">
                  <c:v>76.91</c:v>
                </c:pt>
                <c:pt idx="75">
                  <c:v>77.97</c:v>
                </c:pt>
                <c:pt idx="76">
                  <c:v>78.99</c:v>
                </c:pt>
                <c:pt idx="77">
                  <c:v>80.04</c:v>
                </c:pt>
                <c:pt idx="78">
                  <c:v>81.08</c:v>
                </c:pt>
                <c:pt idx="79">
                  <c:v>82.12</c:v>
                </c:pt>
                <c:pt idx="80">
                  <c:v>83.16</c:v>
                </c:pt>
                <c:pt idx="81">
                  <c:v>84.21</c:v>
                </c:pt>
                <c:pt idx="82">
                  <c:v>85.24</c:v>
                </c:pt>
                <c:pt idx="83">
                  <c:v>86.34</c:v>
                </c:pt>
                <c:pt idx="84">
                  <c:v>87.43</c:v>
                </c:pt>
                <c:pt idx="85">
                  <c:v>88.48</c:v>
                </c:pt>
                <c:pt idx="86">
                  <c:v>89.51</c:v>
                </c:pt>
                <c:pt idx="87">
                  <c:v>90.56</c:v>
                </c:pt>
                <c:pt idx="88">
                  <c:v>91.58</c:v>
                </c:pt>
                <c:pt idx="89">
                  <c:v>92.62</c:v>
                </c:pt>
                <c:pt idx="90">
                  <c:v>93.65</c:v>
                </c:pt>
                <c:pt idx="91">
                  <c:v>94.68</c:v>
                </c:pt>
                <c:pt idx="92">
                  <c:v>95.72</c:v>
                </c:pt>
                <c:pt idx="93">
                  <c:v>96.75</c:v>
                </c:pt>
              </c:strCache>
            </c:strRef>
          </c:cat>
          <c:val>
            <c:numRef>
              <c:f>'Baseline Data'!$D$2:$D$95</c:f>
              <c:numCache>
                <c:formatCode>0.000</c:formatCode>
                <c:ptCount val="94"/>
                <c:pt idx="0">
                  <c:v>-0.03</c:v>
                </c:pt>
                <c:pt idx="1">
                  <c:v>-0.028</c:v>
                </c:pt>
                <c:pt idx="2">
                  <c:v>-0.026</c:v>
                </c:pt>
                <c:pt idx="3">
                  <c:v>-0.022</c:v>
                </c:pt>
                <c:pt idx="4">
                  <c:v>-0.02</c:v>
                </c:pt>
                <c:pt idx="5">
                  <c:v>-0.015</c:v>
                </c:pt>
                <c:pt idx="6">
                  <c:v>-0.011</c:v>
                </c:pt>
                <c:pt idx="7">
                  <c:v>-0.006</c:v>
                </c:pt>
                <c:pt idx="8">
                  <c:v>-0.002</c:v>
                </c:pt>
                <c:pt idx="9">
                  <c:v>0.001</c:v>
                </c:pt>
                <c:pt idx="10">
                  <c:v>0.005</c:v>
                </c:pt>
                <c:pt idx="11">
                  <c:v>0.009</c:v>
                </c:pt>
                <c:pt idx="12">
                  <c:v>0.012</c:v>
                </c:pt>
                <c:pt idx="13">
                  <c:v>0.015</c:v>
                </c:pt>
                <c:pt idx="14">
                  <c:v>0.018</c:v>
                </c:pt>
                <c:pt idx="15">
                  <c:v>0.02</c:v>
                </c:pt>
                <c:pt idx="16">
                  <c:v>0.022</c:v>
                </c:pt>
                <c:pt idx="17">
                  <c:v>0.021</c:v>
                </c:pt>
                <c:pt idx="18">
                  <c:v>0.02</c:v>
                </c:pt>
                <c:pt idx="19">
                  <c:v>0.021</c:v>
                </c:pt>
                <c:pt idx="20">
                  <c:v>0.019</c:v>
                </c:pt>
                <c:pt idx="21">
                  <c:v>-0.014</c:v>
                </c:pt>
                <c:pt idx="22">
                  <c:v>-0.099</c:v>
                </c:pt>
                <c:pt idx="23">
                  <c:v>-0.025</c:v>
                </c:pt>
                <c:pt idx="24">
                  <c:v>-0.012</c:v>
                </c:pt>
                <c:pt idx="25">
                  <c:v>-0.012</c:v>
                </c:pt>
                <c:pt idx="26">
                  <c:v>-0.012</c:v>
                </c:pt>
                <c:pt idx="27">
                  <c:v>-0.012</c:v>
                </c:pt>
                <c:pt idx="28">
                  <c:v>-0.01</c:v>
                </c:pt>
                <c:pt idx="29">
                  <c:v>-0.01</c:v>
                </c:pt>
                <c:pt idx="30">
                  <c:v>-0.007</c:v>
                </c:pt>
                <c:pt idx="31">
                  <c:v>-0.006</c:v>
                </c:pt>
                <c:pt idx="32">
                  <c:v>-0.004</c:v>
                </c:pt>
                <c:pt idx="33">
                  <c:v>-0.003</c:v>
                </c:pt>
                <c:pt idx="34">
                  <c:v>-0.002</c:v>
                </c:pt>
                <c:pt idx="35">
                  <c:v>0.001</c:v>
                </c:pt>
                <c:pt idx="36">
                  <c:v>0.003</c:v>
                </c:pt>
                <c:pt idx="37">
                  <c:v>0.005</c:v>
                </c:pt>
                <c:pt idx="38">
                  <c:v>0.008</c:v>
                </c:pt>
                <c:pt idx="39">
                  <c:v>0.009</c:v>
                </c:pt>
                <c:pt idx="40">
                  <c:v>0.012</c:v>
                </c:pt>
                <c:pt idx="41">
                  <c:v>0.012</c:v>
                </c:pt>
                <c:pt idx="42">
                  <c:v>0.014</c:v>
                </c:pt>
                <c:pt idx="43">
                  <c:v>0.014</c:v>
                </c:pt>
                <c:pt idx="44">
                  <c:v>-0.002</c:v>
                </c:pt>
                <c:pt idx="45">
                  <c:v>-0.09</c:v>
                </c:pt>
                <c:pt idx="46">
                  <c:v>-0.045</c:v>
                </c:pt>
                <c:pt idx="47">
                  <c:v>-0.014</c:v>
                </c:pt>
                <c:pt idx="48">
                  <c:v>-0.012</c:v>
                </c:pt>
                <c:pt idx="49">
                  <c:v>-0.011</c:v>
                </c:pt>
                <c:pt idx="50">
                  <c:v>-0.007</c:v>
                </c:pt>
                <c:pt idx="51">
                  <c:v>-0.005</c:v>
                </c:pt>
                <c:pt idx="52">
                  <c:v>-0.002</c:v>
                </c:pt>
                <c:pt idx="53">
                  <c:v>-0</c:v>
                </c:pt>
                <c:pt idx="54">
                  <c:v>0.003</c:v>
                </c:pt>
                <c:pt idx="55">
                  <c:v>0.005</c:v>
                </c:pt>
                <c:pt idx="56">
                  <c:v>0.008</c:v>
                </c:pt>
                <c:pt idx="57">
                  <c:v>0.009</c:v>
                </c:pt>
                <c:pt idx="58">
                  <c:v>0.011</c:v>
                </c:pt>
                <c:pt idx="59">
                  <c:v>0.012</c:v>
                </c:pt>
                <c:pt idx="60">
                  <c:v>0.011</c:v>
                </c:pt>
                <c:pt idx="61">
                  <c:v>0.01</c:v>
                </c:pt>
                <c:pt idx="62">
                  <c:v>0.008</c:v>
                </c:pt>
                <c:pt idx="63">
                  <c:v>0.007</c:v>
                </c:pt>
                <c:pt idx="64">
                  <c:v>0.006</c:v>
                </c:pt>
                <c:pt idx="65">
                  <c:v>0.005</c:v>
                </c:pt>
                <c:pt idx="66">
                  <c:v>0.005</c:v>
                </c:pt>
                <c:pt idx="67">
                  <c:v>-0.019</c:v>
                </c:pt>
                <c:pt idx="68">
                  <c:v>-0.097</c:v>
                </c:pt>
                <c:pt idx="69">
                  <c:v>-0.04</c:v>
                </c:pt>
                <c:pt idx="70">
                  <c:v>-0.016</c:v>
                </c:pt>
                <c:pt idx="71">
                  <c:v>-0.015</c:v>
                </c:pt>
                <c:pt idx="72">
                  <c:v>-0.016</c:v>
                </c:pt>
                <c:pt idx="73">
                  <c:v>-0.014</c:v>
                </c:pt>
                <c:pt idx="74">
                  <c:v>-0.013</c:v>
                </c:pt>
                <c:pt idx="75">
                  <c:v>-0.01</c:v>
                </c:pt>
                <c:pt idx="76">
                  <c:v>-0.007</c:v>
                </c:pt>
                <c:pt idx="77">
                  <c:v>-0.003</c:v>
                </c:pt>
                <c:pt idx="78">
                  <c:v>-0</c:v>
                </c:pt>
                <c:pt idx="79">
                  <c:v>0.002</c:v>
                </c:pt>
                <c:pt idx="80">
                  <c:v>0.005</c:v>
                </c:pt>
                <c:pt idx="81">
                  <c:v>0.007</c:v>
                </c:pt>
                <c:pt idx="82">
                  <c:v>0.011</c:v>
                </c:pt>
                <c:pt idx="83">
                  <c:v>0.013</c:v>
                </c:pt>
                <c:pt idx="84">
                  <c:v>0.016</c:v>
                </c:pt>
                <c:pt idx="85">
                  <c:v>0.018</c:v>
                </c:pt>
                <c:pt idx="86">
                  <c:v>0.019</c:v>
                </c:pt>
                <c:pt idx="87">
                  <c:v>0.019</c:v>
                </c:pt>
                <c:pt idx="88">
                  <c:v>0.019</c:v>
                </c:pt>
                <c:pt idx="89">
                  <c:v>0.019</c:v>
                </c:pt>
                <c:pt idx="90">
                  <c:v>-0.006</c:v>
                </c:pt>
                <c:pt idx="91">
                  <c:v>-0.07</c:v>
                </c:pt>
                <c:pt idx="92">
                  <c:v>-0.031</c:v>
                </c:pt>
                <c:pt idx="93">
                  <c:v>-0.011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230166"/>
        <c:axId val="11341189"/>
      </c:lineChart>
      <c:catAx>
        <c:axId val="672301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341189"/>
        <c:crosses val="autoZero"/>
        <c:auto val="1"/>
        <c:lblAlgn val="ctr"/>
        <c:lblOffset val="100"/>
        <c:noMultiLvlLbl val="0"/>
      </c:catAx>
      <c:valAx>
        <c:axId val="11341189"/>
        <c:scaling>
          <c:orientation val="minMax"/>
          <c:max val="0.05"/>
          <c:min val="-0.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Error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2301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 command (Baseline)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'Baseline Data'!G1</c:f>
              <c:strCache>
                <c:ptCount val="1"/>
                <c:pt idx="0">
                  <c:v>cmd_v (m/s)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'Baseline Data'!$A$2:$A$95</c:f>
              <c:strCache>
                <c:ptCount val="94"/>
                <c:pt idx="0">
                  <c:v>0.00</c:v>
                </c:pt>
                <c:pt idx="1">
                  <c:v>1.03</c:v>
                </c:pt>
                <c:pt idx="2">
                  <c:v>2.07</c:v>
                </c:pt>
                <c:pt idx="3">
                  <c:v>3.12</c:v>
                </c:pt>
                <c:pt idx="4">
                  <c:v>4.14</c:v>
                </c:pt>
                <c:pt idx="5">
                  <c:v>5.18</c:v>
                </c:pt>
                <c:pt idx="6">
                  <c:v>6.21</c:v>
                </c:pt>
                <c:pt idx="7">
                  <c:v>7.24</c:v>
                </c:pt>
                <c:pt idx="8">
                  <c:v>8.28</c:v>
                </c:pt>
                <c:pt idx="9">
                  <c:v>9.34</c:v>
                </c:pt>
                <c:pt idx="10">
                  <c:v>10.36</c:v>
                </c:pt>
                <c:pt idx="11">
                  <c:v>11.38</c:v>
                </c:pt>
                <c:pt idx="12">
                  <c:v>12.43</c:v>
                </c:pt>
                <c:pt idx="13">
                  <c:v>13.46</c:v>
                </c:pt>
                <c:pt idx="14">
                  <c:v>14.48</c:v>
                </c:pt>
                <c:pt idx="15">
                  <c:v>15.51</c:v>
                </c:pt>
                <c:pt idx="16">
                  <c:v>16.55</c:v>
                </c:pt>
                <c:pt idx="17">
                  <c:v>17.58</c:v>
                </c:pt>
                <c:pt idx="18">
                  <c:v>18.63</c:v>
                </c:pt>
                <c:pt idx="19">
                  <c:v>19.65</c:v>
                </c:pt>
                <c:pt idx="20">
                  <c:v>20.68</c:v>
                </c:pt>
                <c:pt idx="21">
                  <c:v>21.71</c:v>
                </c:pt>
                <c:pt idx="22">
                  <c:v>22.78</c:v>
                </c:pt>
                <c:pt idx="23">
                  <c:v>23.87</c:v>
                </c:pt>
                <c:pt idx="24">
                  <c:v>25.01</c:v>
                </c:pt>
                <c:pt idx="25">
                  <c:v>26.05</c:v>
                </c:pt>
                <c:pt idx="26">
                  <c:v>27.07</c:v>
                </c:pt>
                <c:pt idx="27">
                  <c:v>28.11</c:v>
                </c:pt>
                <c:pt idx="28">
                  <c:v>29.15</c:v>
                </c:pt>
                <c:pt idx="29">
                  <c:v>30.19</c:v>
                </c:pt>
                <c:pt idx="30">
                  <c:v>31.22</c:v>
                </c:pt>
                <c:pt idx="31">
                  <c:v>32.27</c:v>
                </c:pt>
                <c:pt idx="32">
                  <c:v>33.29</c:v>
                </c:pt>
                <c:pt idx="33">
                  <c:v>34.35</c:v>
                </c:pt>
                <c:pt idx="34">
                  <c:v>35.36</c:v>
                </c:pt>
                <c:pt idx="35">
                  <c:v>36.42</c:v>
                </c:pt>
                <c:pt idx="36">
                  <c:v>37.45</c:v>
                </c:pt>
                <c:pt idx="37">
                  <c:v>38.49</c:v>
                </c:pt>
                <c:pt idx="38">
                  <c:v>39.52</c:v>
                </c:pt>
                <c:pt idx="39">
                  <c:v>40.56</c:v>
                </c:pt>
                <c:pt idx="40">
                  <c:v>41.61</c:v>
                </c:pt>
                <c:pt idx="41">
                  <c:v>42.63</c:v>
                </c:pt>
                <c:pt idx="42">
                  <c:v>43.67</c:v>
                </c:pt>
                <c:pt idx="43">
                  <c:v>44.70</c:v>
                </c:pt>
                <c:pt idx="44">
                  <c:v>45.74</c:v>
                </c:pt>
                <c:pt idx="45">
                  <c:v>46.77</c:v>
                </c:pt>
                <c:pt idx="46">
                  <c:v>47.80</c:v>
                </c:pt>
                <c:pt idx="47">
                  <c:v>48.84</c:v>
                </c:pt>
                <c:pt idx="48">
                  <c:v>49.86</c:v>
                </c:pt>
                <c:pt idx="49">
                  <c:v>50.89</c:v>
                </c:pt>
                <c:pt idx="50">
                  <c:v>51.93</c:v>
                </c:pt>
                <c:pt idx="51">
                  <c:v>52.96</c:v>
                </c:pt>
                <c:pt idx="52">
                  <c:v>54.00</c:v>
                </c:pt>
                <c:pt idx="53">
                  <c:v>55.04</c:v>
                </c:pt>
                <c:pt idx="54">
                  <c:v>56.07</c:v>
                </c:pt>
                <c:pt idx="55">
                  <c:v>57.10</c:v>
                </c:pt>
                <c:pt idx="56">
                  <c:v>58.14</c:v>
                </c:pt>
                <c:pt idx="57">
                  <c:v>59.18</c:v>
                </c:pt>
                <c:pt idx="58">
                  <c:v>60.22</c:v>
                </c:pt>
                <c:pt idx="59">
                  <c:v>61.26</c:v>
                </c:pt>
                <c:pt idx="60">
                  <c:v>62.29</c:v>
                </c:pt>
                <c:pt idx="61">
                  <c:v>63.33</c:v>
                </c:pt>
                <c:pt idx="62">
                  <c:v>64.36</c:v>
                </c:pt>
                <c:pt idx="63">
                  <c:v>65.40</c:v>
                </c:pt>
                <c:pt idx="64">
                  <c:v>66.43</c:v>
                </c:pt>
                <c:pt idx="65">
                  <c:v>67.50</c:v>
                </c:pt>
                <c:pt idx="66">
                  <c:v>68.61</c:v>
                </c:pt>
                <c:pt idx="67">
                  <c:v>69.64</c:v>
                </c:pt>
                <c:pt idx="68">
                  <c:v>70.68</c:v>
                </c:pt>
                <c:pt idx="69">
                  <c:v>71.71</c:v>
                </c:pt>
                <c:pt idx="70">
                  <c:v>72.75</c:v>
                </c:pt>
                <c:pt idx="71">
                  <c:v>73.79</c:v>
                </c:pt>
                <c:pt idx="72">
                  <c:v>74.83</c:v>
                </c:pt>
                <c:pt idx="73">
                  <c:v>75.86</c:v>
                </c:pt>
                <c:pt idx="74">
                  <c:v>76.91</c:v>
                </c:pt>
                <c:pt idx="75">
                  <c:v>77.97</c:v>
                </c:pt>
                <c:pt idx="76">
                  <c:v>78.99</c:v>
                </c:pt>
                <c:pt idx="77">
                  <c:v>80.04</c:v>
                </c:pt>
                <c:pt idx="78">
                  <c:v>81.08</c:v>
                </c:pt>
                <c:pt idx="79">
                  <c:v>82.12</c:v>
                </c:pt>
                <c:pt idx="80">
                  <c:v>83.16</c:v>
                </c:pt>
                <c:pt idx="81">
                  <c:v>84.21</c:v>
                </c:pt>
                <c:pt idx="82">
                  <c:v>85.24</c:v>
                </c:pt>
                <c:pt idx="83">
                  <c:v>86.34</c:v>
                </c:pt>
                <c:pt idx="84">
                  <c:v>87.43</c:v>
                </c:pt>
                <c:pt idx="85">
                  <c:v>88.48</c:v>
                </c:pt>
                <c:pt idx="86">
                  <c:v>89.51</c:v>
                </c:pt>
                <c:pt idx="87">
                  <c:v>90.56</c:v>
                </c:pt>
                <c:pt idx="88">
                  <c:v>91.58</c:v>
                </c:pt>
                <c:pt idx="89">
                  <c:v>92.62</c:v>
                </c:pt>
                <c:pt idx="90">
                  <c:v>93.65</c:v>
                </c:pt>
                <c:pt idx="91">
                  <c:v>94.68</c:v>
                </c:pt>
                <c:pt idx="92">
                  <c:v>95.72</c:v>
                </c:pt>
                <c:pt idx="93">
                  <c:v>96.75</c:v>
                </c:pt>
              </c:strCache>
            </c:strRef>
          </c:cat>
          <c:val>
            <c:numRef>
              <c:f>'Baseline Data'!$G$2:$G$95</c:f>
              <c:numCache>
                <c:formatCode>0.000</c:formatCode>
                <c:ptCount val="94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7">
                  <c:v>0.08</c:v>
                </c:pt>
                <c:pt idx="8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0.08</c:v>
                </c:pt>
                <c:pt idx="16">
                  <c:v>0.08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0.08</c:v>
                </c:pt>
                <c:pt idx="26">
                  <c:v>0.08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0.08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0.08</c:v>
                </c:pt>
                <c:pt idx="49">
                  <c:v>0.08</c:v>
                </c:pt>
                <c:pt idx="50">
                  <c:v>0.08</c:v>
                </c:pt>
                <c:pt idx="51">
                  <c:v>0.08</c:v>
                </c:pt>
                <c:pt idx="52">
                  <c:v>0.08</c:v>
                </c:pt>
                <c:pt idx="53">
                  <c:v>0.08</c:v>
                </c:pt>
                <c:pt idx="54">
                  <c:v>0.08</c:v>
                </c:pt>
                <c:pt idx="55">
                  <c:v>0.08</c:v>
                </c:pt>
                <c:pt idx="56">
                  <c:v>0.08</c:v>
                </c:pt>
                <c:pt idx="57">
                  <c:v>0.08</c:v>
                </c:pt>
                <c:pt idx="58">
                  <c:v>0.08</c:v>
                </c:pt>
                <c:pt idx="59">
                  <c:v>0.08</c:v>
                </c:pt>
                <c:pt idx="60">
                  <c:v>0.08</c:v>
                </c:pt>
                <c:pt idx="61">
                  <c:v>0.08</c:v>
                </c:pt>
                <c:pt idx="62">
                  <c:v>0.08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0.08</c:v>
                </c:pt>
                <c:pt idx="72">
                  <c:v>0.08</c:v>
                </c:pt>
                <c:pt idx="73">
                  <c:v>0.08</c:v>
                </c:pt>
                <c:pt idx="74">
                  <c:v>0.08</c:v>
                </c:pt>
                <c:pt idx="75">
                  <c:v>0.08</c:v>
                </c:pt>
                <c:pt idx="76">
                  <c:v>0.08</c:v>
                </c:pt>
                <c:pt idx="77">
                  <c:v>0.08</c:v>
                </c:pt>
                <c:pt idx="78">
                  <c:v>0.08</c:v>
                </c:pt>
                <c:pt idx="79">
                  <c:v>0.08</c:v>
                </c:pt>
                <c:pt idx="80">
                  <c:v>0.08</c:v>
                </c:pt>
                <c:pt idx="81">
                  <c:v>0.08</c:v>
                </c:pt>
                <c:pt idx="82">
                  <c:v>0.08</c:v>
                </c:pt>
                <c:pt idx="83">
                  <c:v>0.08</c:v>
                </c:pt>
                <c:pt idx="84">
                  <c:v>0.08</c:v>
                </c:pt>
                <c:pt idx="85">
                  <c:v>0.08</c:v>
                </c:pt>
                <c:pt idx="86">
                  <c:v>0.04</c:v>
                </c:pt>
                <c:pt idx="87">
                  <c:v>0.04</c:v>
                </c:pt>
                <c:pt idx="88">
                  <c:v>0.04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787111"/>
        <c:axId val="86935500"/>
      </c:lineChart>
      <c:catAx>
        <c:axId val="847871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35500"/>
        <c:crosses val="autoZero"/>
        <c:auto val="1"/>
        <c:lblAlgn val="ctr"/>
        <c:lblOffset val="100"/>
        <c:noMultiLvlLbl val="0"/>
      </c:catAx>
      <c:valAx>
        <c:axId val="86935500"/>
        <c:scaling>
          <c:orientation val="minMax"/>
          <c:max val="0.09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cmd_v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871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Distance error over time (Dual PID)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'Dual PID Data'!D1</c:f>
              <c:strCache>
                <c:ptCount val="1"/>
                <c:pt idx="0">
                  <c:v>Error (m)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'Dual PID Data'!$A$2:$A$136</c:f>
              <c:strCache>
                <c:ptCount val="135"/>
                <c:pt idx="0">
                  <c:v>0.00</c:v>
                </c:pt>
                <c:pt idx="1">
                  <c:v>1.03</c:v>
                </c:pt>
                <c:pt idx="2">
                  <c:v>2.06</c:v>
                </c:pt>
                <c:pt idx="3">
                  <c:v>3.16</c:v>
                </c:pt>
                <c:pt idx="4">
                  <c:v>4.22</c:v>
                </c:pt>
                <c:pt idx="5">
                  <c:v>5.25</c:v>
                </c:pt>
                <c:pt idx="6">
                  <c:v>6.28</c:v>
                </c:pt>
                <c:pt idx="7">
                  <c:v>7.32</c:v>
                </c:pt>
                <c:pt idx="8">
                  <c:v>8.35</c:v>
                </c:pt>
                <c:pt idx="9">
                  <c:v>9.38</c:v>
                </c:pt>
                <c:pt idx="10">
                  <c:v>10.41</c:v>
                </c:pt>
                <c:pt idx="11">
                  <c:v>11.45</c:v>
                </c:pt>
                <c:pt idx="12">
                  <c:v>12.48</c:v>
                </c:pt>
                <c:pt idx="13">
                  <c:v>13.51</c:v>
                </c:pt>
                <c:pt idx="14">
                  <c:v>14.54</c:v>
                </c:pt>
                <c:pt idx="15">
                  <c:v>15.57</c:v>
                </c:pt>
                <c:pt idx="16">
                  <c:v>16.61</c:v>
                </c:pt>
                <c:pt idx="17">
                  <c:v>17.64</c:v>
                </c:pt>
                <c:pt idx="18">
                  <c:v>18.67</c:v>
                </c:pt>
                <c:pt idx="19">
                  <c:v>19.71</c:v>
                </c:pt>
                <c:pt idx="20">
                  <c:v>20.74</c:v>
                </c:pt>
                <c:pt idx="21">
                  <c:v>21.76</c:v>
                </c:pt>
                <c:pt idx="22">
                  <c:v>22.78</c:v>
                </c:pt>
                <c:pt idx="23">
                  <c:v>23.81</c:v>
                </c:pt>
                <c:pt idx="24">
                  <c:v>24.92</c:v>
                </c:pt>
                <c:pt idx="25">
                  <c:v>26.03</c:v>
                </c:pt>
                <c:pt idx="26">
                  <c:v>27.09</c:v>
                </c:pt>
                <c:pt idx="27">
                  <c:v>28.15</c:v>
                </c:pt>
                <c:pt idx="28">
                  <c:v>29.17</c:v>
                </c:pt>
                <c:pt idx="29">
                  <c:v>30.30</c:v>
                </c:pt>
                <c:pt idx="30">
                  <c:v>31.39</c:v>
                </c:pt>
                <c:pt idx="31">
                  <c:v>32.46</c:v>
                </c:pt>
                <c:pt idx="32">
                  <c:v>33.49</c:v>
                </c:pt>
                <c:pt idx="33">
                  <c:v>34.52</c:v>
                </c:pt>
                <c:pt idx="34">
                  <c:v>35.59</c:v>
                </c:pt>
                <c:pt idx="35">
                  <c:v>36.68</c:v>
                </c:pt>
                <c:pt idx="36">
                  <c:v>37.71</c:v>
                </c:pt>
                <c:pt idx="37">
                  <c:v>38.74</c:v>
                </c:pt>
                <c:pt idx="38">
                  <c:v>39.78</c:v>
                </c:pt>
                <c:pt idx="39">
                  <c:v>40.81</c:v>
                </c:pt>
                <c:pt idx="40">
                  <c:v>41.84</c:v>
                </c:pt>
                <c:pt idx="41">
                  <c:v>42.88</c:v>
                </c:pt>
                <c:pt idx="42">
                  <c:v>43.92</c:v>
                </c:pt>
                <c:pt idx="43">
                  <c:v>44.94</c:v>
                </c:pt>
                <c:pt idx="44">
                  <c:v>45.98</c:v>
                </c:pt>
                <c:pt idx="45">
                  <c:v>47.01</c:v>
                </c:pt>
                <c:pt idx="46">
                  <c:v>48.05</c:v>
                </c:pt>
                <c:pt idx="47">
                  <c:v>49.09</c:v>
                </c:pt>
                <c:pt idx="48">
                  <c:v>50.13</c:v>
                </c:pt>
                <c:pt idx="49">
                  <c:v>51.16</c:v>
                </c:pt>
                <c:pt idx="50">
                  <c:v>52.20</c:v>
                </c:pt>
                <c:pt idx="51">
                  <c:v>53.24</c:v>
                </c:pt>
                <c:pt idx="52">
                  <c:v>54.27</c:v>
                </c:pt>
                <c:pt idx="53">
                  <c:v>55.31</c:v>
                </c:pt>
                <c:pt idx="54">
                  <c:v>56.34</c:v>
                </c:pt>
                <c:pt idx="55">
                  <c:v>57.37</c:v>
                </c:pt>
                <c:pt idx="56">
                  <c:v>58.44</c:v>
                </c:pt>
                <c:pt idx="57">
                  <c:v>59.45</c:v>
                </c:pt>
                <c:pt idx="58">
                  <c:v>60.47</c:v>
                </c:pt>
                <c:pt idx="59">
                  <c:v>61.50</c:v>
                </c:pt>
                <c:pt idx="60">
                  <c:v>62.54</c:v>
                </c:pt>
                <c:pt idx="61">
                  <c:v>63.56</c:v>
                </c:pt>
                <c:pt idx="62">
                  <c:v>64.59</c:v>
                </c:pt>
                <c:pt idx="63">
                  <c:v>65.63</c:v>
                </c:pt>
                <c:pt idx="64">
                  <c:v>66.66</c:v>
                </c:pt>
                <c:pt idx="65">
                  <c:v>67.69</c:v>
                </c:pt>
                <c:pt idx="66">
                  <c:v>68.72</c:v>
                </c:pt>
                <c:pt idx="67">
                  <c:v>69.75</c:v>
                </c:pt>
                <c:pt idx="68">
                  <c:v>70.78</c:v>
                </c:pt>
                <c:pt idx="69">
                  <c:v>71.81</c:v>
                </c:pt>
                <c:pt idx="70">
                  <c:v>72.84</c:v>
                </c:pt>
                <c:pt idx="71">
                  <c:v>73.87</c:v>
                </c:pt>
                <c:pt idx="72">
                  <c:v>74.91</c:v>
                </c:pt>
                <c:pt idx="73">
                  <c:v>75.94</c:v>
                </c:pt>
                <c:pt idx="74">
                  <c:v>76.97</c:v>
                </c:pt>
                <c:pt idx="75">
                  <c:v>78.01</c:v>
                </c:pt>
                <c:pt idx="76">
                  <c:v>79.04</c:v>
                </c:pt>
                <c:pt idx="77">
                  <c:v>80.07</c:v>
                </c:pt>
                <c:pt idx="78">
                  <c:v>81.10</c:v>
                </c:pt>
                <c:pt idx="79">
                  <c:v>82.13</c:v>
                </c:pt>
                <c:pt idx="80">
                  <c:v>83.16</c:v>
                </c:pt>
                <c:pt idx="81">
                  <c:v>84.19</c:v>
                </c:pt>
                <c:pt idx="82">
                  <c:v>85.22</c:v>
                </c:pt>
                <c:pt idx="83">
                  <c:v>86.26</c:v>
                </c:pt>
                <c:pt idx="84">
                  <c:v>87.29</c:v>
                </c:pt>
                <c:pt idx="85">
                  <c:v>88.32</c:v>
                </c:pt>
                <c:pt idx="86">
                  <c:v>89.36</c:v>
                </c:pt>
                <c:pt idx="87">
                  <c:v>90.38</c:v>
                </c:pt>
                <c:pt idx="88">
                  <c:v>91.41</c:v>
                </c:pt>
                <c:pt idx="89">
                  <c:v>92.44</c:v>
                </c:pt>
                <c:pt idx="90">
                  <c:v>93.47</c:v>
                </c:pt>
                <c:pt idx="91">
                  <c:v>94.50</c:v>
                </c:pt>
                <c:pt idx="92">
                  <c:v>95.53</c:v>
                </c:pt>
                <c:pt idx="93">
                  <c:v>96.56</c:v>
                </c:pt>
                <c:pt idx="94">
                  <c:v>97.60</c:v>
                </c:pt>
                <c:pt idx="95">
                  <c:v>98.62</c:v>
                </c:pt>
                <c:pt idx="96">
                  <c:v>99.66</c:v>
                </c:pt>
                <c:pt idx="97">
                  <c:v>100.69</c:v>
                </c:pt>
                <c:pt idx="98">
                  <c:v>101.72</c:v>
                </c:pt>
                <c:pt idx="99">
                  <c:v>102.74</c:v>
                </c:pt>
                <c:pt idx="100">
                  <c:v>103.79</c:v>
                </c:pt>
                <c:pt idx="101">
                  <c:v>104.83</c:v>
                </c:pt>
                <c:pt idx="102">
                  <c:v>105.84</c:v>
                </c:pt>
                <c:pt idx="103">
                  <c:v>106.88</c:v>
                </c:pt>
                <c:pt idx="104">
                  <c:v>107.91</c:v>
                </c:pt>
                <c:pt idx="105">
                  <c:v>108.96</c:v>
                </c:pt>
                <c:pt idx="106">
                  <c:v>109.98</c:v>
                </c:pt>
                <c:pt idx="107">
                  <c:v>111.02</c:v>
                </c:pt>
                <c:pt idx="108">
                  <c:v>112.05</c:v>
                </c:pt>
                <c:pt idx="109">
                  <c:v>113.09</c:v>
                </c:pt>
                <c:pt idx="110">
                  <c:v>114.16</c:v>
                </c:pt>
                <c:pt idx="111">
                  <c:v>115.16</c:v>
                </c:pt>
                <c:pt idx="112">
                  <c:v>116.20</c:v>
                </c:pt>
                <c:pt idx="113">
                  <c:v>117.23</c:v>
                </c:pt>
                <c:pt idx="114">
                  <c:v>118.27</c:v>
                </c:pt>
                <c:pt idx="115">
                  <c:v>119.30</c:v>
                </c:pt>
                <c:pt idx="116">
                  <c:v>120.34</c:v>
                </c:pt>
                <c:pt idx="117">
                  <c:v>121.37</c:v>
                </c:pt>
                <c:pt idx="118">
                  <c:v>122.40</c:v>
                </c:pt>
                <c:pt idx="119">
                  <c:v>123.45</c:v>
                </c:pt>
                <c:pt idx="120">
                  <c:v>124.47</c:v>
                </c:pt>
                <c:pt idx="121">
                  <c:v>125.50</c:v>
                </c:pt>
                <c:pt idx="122">
                  <c:v>126.53</c:v>
                </c:pt>
                <c:pt idx="123">
                  <c:v>127.56</c:v>
                </c:pt>
                <c:pt idx="124">
                  <c:v>128.59</c:v>
                </c:pt>
                <c:pt idx="125">
                  <c:v>129.62</c:v>
                </c:pt>
                <c:pt idx="126">
                  <c:v>130.65</c:v>
                </c:pt>
                <c:pt idx="127">
                  <c:v>131.71</c:v>
                </c:pt>
                <c:pt idx="128">
                  <c:v>132.72</c:v>
                </c:pt>
                <c:pt idx="129">
                  <c:v>133.74</c:v>
                </c:pt>
                <c:pt idx="130">
                  <c:v>134.78</c:v>
                </c:pt>
                <c:pt idx="131">
                  <c:v>135.79</c:v>
                </c:pt>
                <c:pt idx="132">
                  <c:v>136.82</c:v>
                </c:pt>
                <c:pt idx="133">
                  <c:v>138.03</c:v>
                </c:pt>
                <c:pt idx="134">
                  <c:v>139.08</c:v>
                </c:pt>
              </c:strCache>
            </c:strRef>
          </c:cat>
          <c:val>
            <c:numRef>
              <c:f>'Dual PID Data'!$D$2:$D$136</c:f>
              <c:numCache>
                <c:formatCode>0.000</c:formatCode>
                <c:ptCount val="135"/>
                <c:pt idx="0">
                  <c:v>-0.038</c:v>
                </c:pt>
                <c:pt idx="1">
                  <c:v>-0.034</c:v>
                </c:pt>
                <c:pt idx="2">
                  <c:v>-0.03</c:v>
                </c:pt>
                <c:pt idx="3">
                  <c:v>-0.021</c:v>
                </c:pt>
                <c:pt idx="4">
                  <c:v>-0.006</c:v>
                </c:pt>
                <c:pt idx="5">
                  <c:v>0.002</c:v>
                </c:pt>
                <c:pt idx="6">
                  <c:v>0.013</c:v>
                </c:pt>
                <c:pt idx="7">
                  <c:v>0.016</c:v>
                </c:pt>
                <c:pt idx="8">
                  <c:v>0.023</c:v>
                </c:pt>
                <c:pt idx="9">
                  <c:v>0.024</c:v>
                </c:pt>
                <c:pt idx="10">
                  <c:v>0.026</c:v>
                </c:pt>
                <c:pt idx="11">
                  <c:v>0.023</c:v>
                </c:pt>
                <c:pt idx="12">
                  <c:v>0.019</c:v>
                </c:pt>
                <c:pt idx="13">
                  <c:v>0.014</c:v>
                </c:pt>
                <c:pt idx="14">
                  <c:v>0.015</c:v>
                </c:pt>
                <c:pt idx="15">
                  <c:v>0.01</c:v>
                </c:pt>
                <c:pt idx="16">
                  <c:v>0.004</c:v>
                </c:pt>
                <c:pt idx="17">
                  <c:v>0.007</c:v>
                </c:pt>
                <c:pt idx="18">
                  <c:v>0.004</c:v>
                </c:pt>
                <c:pt idx="19">
                  <c:v>-0.002</c:v>
                </c:pt>
                <c:pt idx="20">
                  <c:v>0.001</c:v>
                </c:pt>
                <c:pt idx="21">
                  <c:v>-0.003</c:v>
                </c:pt>
                <c:pt idx="22">
                  <c:v>-0.003</c:v>
                </c:pt>
                <c:pt idx="23">
                  <c:v>-0.002</c:v>
                </c:pt>
                <c:pt idx="24">
                  <c:v>-0.004</c:v>
                </c:pt>
                <c:pt idx="25">
                  <c:v>-0.007</c:v>
                </c:pt>
                <c:pt idx="26">
                  <c:v>-0.006</c:v>
                </c:pt>
                <c:pt idx="27">
                  <c:v>-0.004</c:v>
                </c:pt>
                <c:pt idx="28">
                  <c:v>-0.007</c:v>
                </c:pt>
                <c:pt idx="29">
                  <c:v>0.013</c:v>
                </c:pt>
                <c:pt idx="30">
                  <c:v>0.005</c:v>
                </c:pt>
                <c:pt idx="31">
                  <c:v>-0.046</c:v>
                </c:pt>
                <c:pt idx="32">
                  <c:v>-0.098</c:v>
                </c:pt>
                <c:pt idx="33">
                  <c:v>-0.04</c:v>
                </c:pt>
                <c:pt idx="34">
                  <c:v>-0.015</c:v>
                </c:pt>
                <c:pt idx="35">
                  <c:v>-0.029</c:v>
                </c:pt>
                <c:pt idx="36">
                  <c:v>-0.024</c:v>
                </c:pt>
                <c:pt idx="37">
                  <c:v>-0.017</c:v>
                </c:pt>
                <c:pt idx="38">
                  <c:v>-0.014</c:v>
                </c:pt>
                <c:pt idx="39">
                  <c:v>-0.005</c:v>
                </c:pt>
                <c:pt idx="40">
                  <c:v>-0.003</c:v>
                </c:pt>
                <c:pt idx="41">
                  <c:v>0.003</c:v>
                </c:pt>
                <c:pt idx="42">
                  <c:v>0.007</c:v>
                </c:pt>
                <c:pt idx="43">
                  <c:v>0.009</c:v>
                </c:pt>
                <c:pt idx="44">
                  <c:v>0.011</c:v>
                </c:pt>
                <c:pt idx="45">
                  <c:v>0.015</c:v>
                </c:pt>
                <c:pt idx="46">
                  <c:v>0.014</c:v>
                </c:pt>
                <c:pt idx="47">
                  <c:v>0.012</c:v>
                </c:pt>
                <c:pt idx="48">
                  <c:v>0.013</c:v>
                </c:pt>
                <c:pt idx="49">
                  <c:v>0.011</c:v>
                </c:pt>
                <c:pt idx="50">
                  <c:v>0.009</c:v>
                </c:pt>
                <c:pt idx="51">
                  <c:v>0.006</c:v>
                </c:pt>
                <c:pt idx="52">
                  <c:v>0.006</c:v>
                </c:pt>
                <c:pt idx="53">
                  <c:v>0.003</c:v>
                </c:pt>
                <c:pt idx="54">
                  <c:v>0.004</c:v>
                </c:pt>
                <c:pt idx="55">
                  <c:v>0.005</c:v>
                </c:pt>
                <c:pt idx="56">
                  <c:v>0</c:v>
                </c:pt>
                <c:pt idx="57">
                  <c:v>-0</c:v>
                </c:pt>
                <c:pt idx="58">
                  <c:v>-0.001</c:v>
                </c:pt>
                <c:pt idx="59">
                  <c:v>-0</c:v>
                </c:pt>
                <c:pt idx="60">
                  <c:v>0.003</c:v>
                </c:pt>
                <c:pt idx="61">
                  <c:v>-0.001</c:v>
                </c:pt>
                <c:pt idx="62">
                  <c:v>0.02</c:v>
                </c:pt>
                <c:pt idx="63">
                  <c:v>0.004</c:v>
                </c:pt>
                <c:pt idx="64">
                  <c:v>-0.058</c:v>
                </c:pt>
                <c:pt idx="65">
                  <c:v>-0.083</c:v>
                </c:pt>
                <c:pt idx="66">
                  <c:v>-0.031</c:v>
                </c:pt>
                <c:pt idx="67">
                  <c:v>-0.017</c:v>
                </c:pt>
                <c:pt idx="68">
                  <c:v>-0.03</c:v>
                </c:pt>
                <c:pt idx="69">
                  <c:v>-0.025</c:v>
                </c:pt>
                <c:pt idx="70">
                  <c:v>-0.015</c:v>
                </c:pt>
                <c:pt idx="71">
                  <c:v>-0.014</c:v>
                </c:pt>
                <c:pt idx="72">
                  <c:v>-0.007</c:v>
                </c:pt>
                <c:pt idx="73">
                  <c:v>0.002</c:v>
                </c:pt>
                <c:pt idx="74">
                  <c:v>0.004</c:v>
                </c:pt>
                <c:pt idx="75">
                  <c:v>0.012</c:v>
                </c:pt>
                <c:pt idx="76">
                  <c:v>0.017</c:v>
                </c:pt>
                <c:pt idx="77">
                  <c:v>0.017</c:v>
                </c:pt>
                <c:pt idx="78">
                  <c:v>0.014</c:v>
                </c:pt>
                <c:pt idx="79">
                  <c:v>0.018</c:v>
                </c:pt>
                <c:pt idx="80">
                  <c:v>0.015</c:v>
                </c:pt>
                <c:pt idx="81">
                  <c:v>0.013</c:v>
                </c:pt>
                <c:pt idx="82">
                  <c:v>0.012</c:v>
                </c:pt>
                <c:pt idx="83">
                  <c:v>0.011</c:v>
                </c:pt>
                <c:pt idx="84">
                  <c:v>0.005</c:v>
                </c:pt>
                <c:pt idx="85">
                  <c:v>0.005</c:v>
                </c:pt>
                <c:pt idx="86">
                  <c:v>0.005</c:v>
                </c:pt>
                <c:pt idx="87">
                  <c:v>0.004</c:v>
                </c:pt>
                <c:pt idx="88">
                  <c:v>0.001</c:v>
                </c:pt>
                <c:pt idx="89">
                  <c:v>0.003</c:v>
                </c:pt>
                <c:pt idx="90">
                  <c:v>0.001</c:v>
                </c:pt>
                <c:pt idx="91">
                  <c:v>0.001</c:v>
                </c:pt>
                <c:pt idx="92">
                  <c:v>0.001</c:v>
                </c:pt>
                <c:pt idx="93">
                  <c:v>0.003</c:v>
                </c:pt>
                <c:pt idx="94">
                  <c:v>0.005</c:v>
                </c:pt>
                <c:pt idx="95">
                  <c:v>0.007</c:v>
                </c:pt>
                <c:pt idx="96">
                  <c:v>0.016</c:v>
                </c:pt>
                <c:pt idx="97">
                  <c:v>-0.016</c:v>
                </c:pt>
                <c:pt idx="98">
                  <c:v>-0.095</c:v>
                </c:pt>
                <c:pt idx="99">
                  <c:v>-0.054</c:v>
                </c:pt>
                <c:pt idx="100">
                  <c:v>-0.021</c:v>
                </c:pt>
                <c:pt idx="101">
                  <c:v>-0.034</c:v>
                </c:pt>
                <c:pt idx="102">
                  <c:v>-0.032</c:v>
                </c:pt>
                <c:pt idx="103">
                  <c:v>-0.025</c:v>
                </c:pt>
                <c:pt idx="104">
                  <c:v>-0.019</c:v>
                </c:pt>
                <c:pt idx="105">
                  <c:v>-0.012</c:v>
                </c:pt>
                <c:pt idx="106">
                  <c:v>-0.005</c:v>
                </c:pt>
                <c:pt idx="107">
                  <c:v>0.002</c:v>
                </c:pt>
                <c:pt idx="108">
                  <c:v>0.006</c:v>
                </c:pt>
                <c:pt idx="109">
                  <c:v>0.011</c:v>
                </c:pt>
                <c:pt idx="110">
                  <c:v>0.017</c:v>
                </c:pt>
                <c:pt idx="111">
                  <c:v>0.016</c:v>
                </c:pt>
                <c:pt idx="112">
                  <c:v>0.02</c:v>
                </c:pt>
                <c:pt idx="113">
                  <c:v>0.016</c:v>
                </c:pt>
                <c:pt idx="114">
                  <c:v>0.017</c:v>
                </c:pt>
                <c:pt idx="115">
                  <c:v>0.016</c:v>
                </c:pt>
                <c:pt idx="116">
                  <c:v>0.011</c:v>
                </c:pt>
                <c:pt idx="117">
                  <c:v>0.012</c:v>
                </c:pt>
                <c:pt idx="118">
                  <c:v>0.008</c:v>
                </c:pt>
                <c:pt idx="119">
                  <c:v>0.009</c:v>
                </c:pt>
                <c:pt idx="120">
                  <c:v>0.005</c:v>
                </c:pt>
                <c:pt idx="121">
                  <c:v>0.005</c:v>
                </c:pt>
                <c:pt idx="122">
                  <c:v>0.001</c:v>
                </c:pt>
                <c:pt idx="123">
                  <c:v>0.004</c:v>
                </c:pt>
                <c:pt idx="124">
                  <c:v>0.003</c:v>
                </c:pt>
                <c:pt idx="125">
                  <c:v>0.005</c:v>
                </c:pt>
                <c:pt idx="126">
                  <c:v>0.001</c:v>
                </c:pt>
                <c:pt idx="127">
                  <c:v>0.007</c:v>
                </c:pt>
                <c:pt idx="128">
                  <c:v>0.009</c:v>
                </c:pt>
                <c:pt idx="129">
                  <c:v>0.022</c:v>
                </c:pt>
                <c:pt idx="130">
                  <c:v>0.008</c:v>
                </c:pt>
                <c:pt idx="131">
                  <c:v>-0.047</c:v>
                </c:pt>
                <c:pt idx="132">
                  <c:v>-0.084</c:v>
                </c:pt>
                <c:pt idx="133">
                  <c:v>-0.028</c:v>
                </c:pt>
                <c:pt idx="134">
                  <c:v>-0.013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3635223"/>
        <c:axId val="64822913"/>
      </c:lineChart>
      <c:catAx>
        <c:axId val="53635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822913"/>
        <c:crosses val="autoZero"/>
        <c:auto val="1"/>
        <c:lblAlgn val="ctr"/>
        <c:lblOffset val="100"/>
        <c:noMultiLvlLbl val="0"/>
      </c:catAx>
      <c:valAx>
        <c:axId val="64822913"/>
        <c:scaling>
          <c:orientation val="minMax"/>
          <c:max val="0.05"/>
          <c:min val="-0.1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Error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635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Speed command (Dual PID)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'Dual PID Data'!G1</c:f>
              <c:strCache>
                <c:ptCount val="1"/>
                <c:pt idx="0">
                  <c:v>cmd_v (m/s)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'Dual PID Data'!$A$2:$A$136</c:f>
              <c:strCache>
                <c:ptCount val="135"/>
                <c:pt idx="0">
                  <c:v>0.00</c:v>
                </c:pt>
                <c:pt idx="1">
                  <c:v>1.03</c:v>
                </c:pt>
                <c:pt idx="2">
                  <c:v>2.06</c:v>
                </c:pt>
                <c:pt idx="3">
                  <c:v>3.16</c:v>
                </c:pt>
                <c:pt idx="4">
                  <c:v>4.22</c:v>
                </c:pt>
                <c:pt idx="5">
                  <c:v>5.25</c:v>
                </c:pt>
                <c:pt idx="6">
                  <c:v>6.28</c:v>
                </c:pt>
                <c:pt idx="7">
                  <c:v>7.32</c:v>
                </c:pt>
                <c:pt idx="8">
                  <c:v>8.35</c:v>
                </c:pt>
                <c:pt idx="9">
                  <c:v>9.38</c:v>
                </c:pt>
                <c:pt idx="10">
                  <c:v>10.41</c:v>
                </c:pt>
                <c:pt idx="11">
                  <c:v>11.45</c:v>
                </c:pt>
                <c:pt idx="12">
                  <c:v>12.48</c:v>
                </c:pt>
                <c:pt idx="13">
                  <c:v>13.51</c:v>
                </c:pt>
                <c:pt idx="14">
                  <c:v>14.54</c:v>
                </c:pt>
                <c:pt idx="15">
                  <c:v>15.57</c:v>
                </c:pt>
                <c:pt idx="16">
                  <c:v>16.61</c:v>
                </c:pt>
                <c:pt idx="17">
                  <c:v>17.64</c:v>
                </c:pt>
                <c:pt idx="18">
                  <c:v>18.67</c:v>
                </c:pt>
                <c:pt idx="19">
                  <c:v>19.71</c:v>
                </c:pt>
                <c:pt idx="20">
                  <c:v>20.74</c:v>
                </c:pt>
                <c:pt idx="21">
                  <c:v>21.76</c:v>
                </c:pt>
                <c:pt idx="22">
                  <c:v>22.78</c:v>
                </c:pt>
                <c:pt idx="23">
                  <c:v>23.81</c:v>
                </c:pt>
                <c:pt idx="24">
                  <c:v>24.92</c:v>
                </c:pt>
                <c:pt idx="25">
                  <c:v>26.03</c:v>
                </c:pt>
                <c:pt idx="26">
                  <c:v>27.09</c:v>
                </c:pt>
                <c:pt idx="27">
                  <c:v>28.15</c:v>
                </c:pt>
                <c:pt idx="28">
                  <c:v>29.17</c:v>
                </c:pt>
                <c:pt idx="29">
                  <c:v>30.30</c:v>
                </c:pt>
                <c:pt idx="30">
                  <c:v>31.39</c:v>
                </c:pt>
                <c:pt idx="31">
                  <c:v>32.46</c:v>
                </c:pt>
                <c:pt idx="32">
                  <c:v>33.49</c:v>
                </c:pt>
                <c:pt idx="33">
                  <c:v>34.52</c:v>
                </c:pt>
                <c:pt idx="34">
                  <c:v>35.59</c:v>
                </c:pt>
                <c:pt idx="35">
                  <c:v>36.68</c:v>
                </c:pt>
                <c:pt idx="36">
                  <c:v>37.71</c:v>
                </c:pt>
                <c:pt idx="37">
                  <c:v>38.74</c:v>
                </c:pt>
                <c:pt idx="38">
                  <c:v>39.78</c:v>
                </c:pt>
                <c:pt idx="39">
                  <c:v>40.81</c:v>
                </c:pt>
                <c:pt idx="40">
                  <c:v>41.84</c:v>
                </c:pt>
                <c:pt idx="41">
                  <c:v>42.88</c:v>
                </c:pt>
                <c:pt idx="42">
                  <c:v>43.92</c:v>
                </c:pt>
                <c:pt idx="43">
                  <c:v>44.94</c:v>
                </c:pt>
                <c:pt idx="44">
                  <c:v>45.98</c:v>
                </c:pt>
                <c:pt idx="45">
                  <c:v>47.01</c:v>
                </c:pt>
                <c:pt idx="46">
                  <c:v>48.05</c:v>
                </c:pt>
                <c:pt idx="47">
                  <c:v>49.09</c:v>
                </c:pt>
                <c:pt idx="48">
                  <c:v>50.13</c:v>
                </c:pt>
                <c:pt idx="49">
                  <c:v>51.16</c:v>
                </c:pt>
                <c:pt idx="50">
                  <c:v>52.20</c:v>
                </c:pt>
                <c:pt idx="51">
                  <c:v>53.24</c:v>
                </c:pt>
                <c:pt idx="52">
                  <c:v>54.27</c:v>
                </c:pt>
                <c:pt idx="53">
                  <c:v>55.31</c:v>
                </c:pt>
                <c:pt idx="54">
                  <c:v>56.34</c:v>
                </c:pt>
                <c:pt idx="55">
                  <c:v>57.37</c:v>
                </c:pt>
                <c:pt idx="56">
                  <c:v>58.44</c:v>
                </c:pt>
                <c:pt idx="57">
                  <c:v>59.45</c:v>
                </c:pt>
                <c:pt idx="58">
                  <c:v>60.47</c:v>
                </c:pt>
                <c:pt idx="59">
                  <c:v>61.50</c:v>
                </c:pt>
                <c:pt idx="60">
                  <c:v>62.54</c:v>
                </c:pt>
                <c:pt idx="61">
                  <c:v>63.56</c:v>
                </c:pt>
                <c:pt idx="62">
                  <c:v>64.59</c:v>
                </c:pt>
                <c:pt idx="63">
                  <c:v>65.63</c:v>
                </c:pt>
                <c:pt idx="64">
                  <c:v>66.66</c:v>
                </c:pt>
                <c:pt idx="65">
                  <c:v>67.69</c:v>
                </c:pt>
                <c:pt idx="66">
                  <c:v>68.72</c:v>
                </c:pt>
                <c:pt idx="67">
                  <c:v>69.75</c:v>
                </c:pt>
                <c:pt idx="68">
                  <c:v>70.78</c:v>
                </c:pt>
                <c:pt idx="69">
                  <c:v>71.81</c:v>
                </c:pt>
                <c:pt idx="70">
                  <c:v>72.84</c:v>
                </c:pt>
                <c:pt idx="71">
                  <c:v>73.87</c:v>
                </c:pt>
                <c:pt idx="72">
                  <c:v>74.91</c:v>
                </c:pt>
                <c:pt idx="73">
                  <c:v>75.94</c:v>
                </c:pt>
                <c:pt idx="74">
                  <c:v>76.97</c:v>
                </c:pt>
                <c:pt idx="75">
                  <c:v>78.01</c:v>
                </c:pt>
                <c:pt idx="76">
                  <c:v>79.04</c:v>
                </c:pt>
                <c:pt idx="77">
                  <c:v>80.07</c:v>
                </c:pt>
                <c:pt idx="78">
                  <c:v>81.10</c:v>
                </c:pt>
                <c:pt idx="79">
                  <c:v>82.13</c:v>
                </c:pt>
                <c:pt idx="80">
                  <c:v>83.16</c:v>
                </c:pt>
                <c:pt idx="81">
                  <c:v>84.19</c:v>
                </c:pt>
                <c:pt idx="82">
                  <c:v>85.22</c:v>
                </c:pt>
                <c:pt idx="83">
                  <c:v>86.26</c:v>
                </c:pt>
                <c:pt idx="84">
                  <c:v>87.29</c:v>
                </c:pt>
                <c:pt idx="85">
                  <c:v>88.32</c:v>
                </c:pt>
                <c:pt idx="86">
                  <c:v>89.36</c:v>
                </c:pt>
                <c:pt idx="87">
                  <c:v>90.38</c:v>
                </c:pt>
                <c:pt idx="88">
                  <c:v>91.41</c:v>
                </c:pt>
                <c:pt idx="89">
                  <c:v>92.44</c:v>
                </c:pt>
                <c:pt idx="90">
                  <c:v>93.47</c:v>
                </c:pt>
                <c:pt idx="91">
                  <c:v>94.50</c:v>
                </c:pt>
                <c:pt idx="92">
                  <c:v>95.53</c:v>
                </c:pt>
                <c:pt idx="93">
                  <c:v>96.56</c:v>
                </c:pt>
                <c:pt idx="94">
                  <c:v>97.60</c:v>
                </c:pt>
                <c:pt idx="95">
                  <c:v>98.62</c:v>
                </c:pt>
                <c:pt idx="96">
                  <c:v>99.66</c:v>
                </c:pt>
                <c:pt idx="97">
                  <c:v>100.69</c:v>
                </c:pt>
                <c:pt idx="98">
                  <c:v>101.72</c:v>
                </c:pt>
                <c:pt idx="99">
                  <c:v>102.74</c:v>
                </c:pt>
                <c:pt idx="100">
                  <c:v>103.79</c:v>
                </c:pt>
                <c:pt idx="101">
                  <c:v>104.83</c:v>
                </c:pt>
                <c:pt idx="102">
                  <c:v>105.84</c:v>
                </c:pt>
                <c:pt idx="103">
                  <c:v>106.88</c:v>
                </c:pt>
                <c:pt idx="104">
                  <c:v>107.91</c:v>
                </c:pt>
                <c:pt idx="105">
                  <c:v>108.96</c:v>
                </c:pt>
                <c:pt idx="106">
                  <c:v>109.98</c:v>
                </c:pt>
                <c:pt idx="107">
                  <c:v>111.02</c:v>
                </c:pt>
                <c:pt idx="108">
                  <c:v>112.05</c:v>
                </c:pt>
                <c:pt idx="109">
                  <c:v>113.09</c:v>
                </c:pt>
                <c:pt idx="110">
                  <c:v>114.16</c:v>
                </c:pt>
                <c:pt idx="111">
                  <c:v>115.16</c:v>
                </c:pt>
                <c:pt idx="112">
                  <c:v>116.20</c:v>
                </c:pt>
                <c:pt idx="113">
                  <c:v>117.23</c:v>
                </c:pt>
                <c:pt idx="114">
                  <c:v>118.27</c:v>
                </c:pt>
                <c:pt idx="115">
                  <c:v>119.30</c:v>
                </c:pt>
                <c:pt idx="116">
                  <c:v>120.34</c:v>
                </c:pt>
                <c:pt idx="117">
                  <c:v>121.37</c:v>
                </c:pt>
                <c:pt idx="118">
                  <c:v>122.40</c:v>
                </c:pt>
                <c:pt idx="119">
                  <c:v>123.45</c:v>
                </c:pt>
                <c:pt idx="120">
                  <c:v>124.47</c:v>
                </c:pt>
                <c:pt idx="121">
                  <c:v>125.50</c:v>
                </c:pt>
                <c:pt idx="122">
                  <c:v>126.53</c:v>
                </c:pt>
                <c:pt idx="123">
                  <c:v>127.56</c:v>
                </c:pt>
                <c:pt idx="124">
                  <c:v>128.59</c:v>
                </c:pt>
                <c:pt idx="125">
                  <c:v>129.62</c:v>
                </c:pt>
                <c:pt idx="126">
                  <c:v>130.65</c:v>
                </c:pt>
                <c:pt idx="127">
                  <c:v>131.71</c:v>
                </c:pt>
                <c:pt idx="128">
                  <c:v>132.72</c:v>
                </c:pt>
                <c:pt idx="129">
                  <c:v>133.74</c:v>
                </c:pt>
                <c:pt idx="130">
                  <c:v>134.78</c:v>
                </c:pt>
                <c:pt idx="131">
                  <c:v>135.79</c:v>
                </c:pt>
                <c:pt idx="132">
                  <c:v>136.82</c:v>
                </c:pt>
                <c:pt idx="133">
                  <c:v>138.03</c:v>
                </c:pt>
                <c:pt idx="134">
                  <c:v>139.08</c:v>
                </c:pt>
              </c:strCache>
            </c:strRef>
          </c:cat>
          <c:val>
            <c:numRef>
              <c:f>'Dual PID Data'!$G$2:$G$136</c:f>
              <c:numCache>
                <c:formatCode>0.000</c:formatCode>
                <c:ptCount val="135"/>
                <c:pt idx="0">
                  <c:v>0.049</c:v>
                </c:pt>
                <c:pt idx="1">
                  <c:v>0.052</c:v>
                </c:pt>
                <c:pt idx="2">
                  <c:v>0.056</c:v>
                </c:pt>
                <c:pt idx="3">
                  <c:v>0.063</c:v>
                </c:pt>
                <c:pt idx="4">
                  <c:v>0.075</c:v>
                </c:pt>
                <c:pt idx="5">
                  <c:v>0.078</c:v>
                </c:pt>
                <c:pt idx="6">
                  <c:v>0.07</c:v>
                </c:pt>
                <c:pt idx="7">
                  <c:v>0.067</c:v>
                </c:pt>
                <c:pt idx="8">
                  <c:v>0.061</c:v>
                </c:pt>
                <c:pt idx="9">
                  <c:v>0.06</c:v>
                </c:pt>
                <c:pt idx="10">
                  <c:v>0.059</c:v>
                </c:pt>
                <c:pt idx="11">
                  <c:v>0.062</c:v>
                </c:pt>
                <c:pt idx="12">
                  <c:v>0.065</c:v>
                </c:pt>
                <c:pt idx="13">
                  <c:v>0.069</c:v>
                </c:pt>
                <c:pt idx="14">
                  <c:v>0.068</c:v>
                </c:pt>
                <c:pt idx="15">
                  <c:v>0.072</c:v>
                </c:pt>
                <c:pt idx="16">
                  <c:v>0.077</c:v>
                </c:pt>
                <c:pt idx="17">
                  <c:v>0.065</c:v>
                </c:pt>
                <c:pt idx="18">
                  <c:v>0.058</c:v>
                </c:pt>
                <c:pt idx="19">
                  <c:v>0.052</c:v>
                </c:pt>
                <c:pt idx="20">
                  <c:v>0.045</c:v>
                </c:pt>
                <c:pt idx="21">
                  <c:v>0.038</c:v>
                </c:pt>
                <c:pt idx="22">
                  <c:v>0.033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0.056</c:v>
                </c:pt>
                <c:pt idx="36">
                  <c:v>0.061</c:v>
                </c:pt>
                <c:pt idx="37">
                  <c:v>0.066</c:v>
                </c:pt>
                <c:pt idx="38">
                  <c:v>0.069</c:v>
                </c:pt>
                <c:pt idx="39">
                  <c:v>0.076</c:v>
                </c:pt>
                <c:pt idx="40">
                  <c:v>0.078</c:v>
                </c:pt>
                <c:pt idx="41">
                  <c:v>0.077</c:v>
                </c:pt>
                <c:pt idx="42">
                  <c:v>0.075</c:v>
                </c:pt>
                <c:pt idx="43">
                  <c:v>0.073</c:v>
                </c:pt>
                <c:pt idx="44">
                  <c:v>0.072</c:v>
                </c:pt>
                <c:pt idx="45">
                  <c:v>0.068</c:v>
                </c:pt>
                <c:pt idx="46">
                  <c:v>0.069</c:v>
                </c:pt>
                <c:pt idx="47">
                  <c:v>0.07</c:v>
                </c:pt>
                <c:pt idx="48">
                  <c:v>0.07</c:v>
                </c:pt>
                <c:pt idx="49">
                  <c:v>0.063</c:v>
                </c:pt>
                <c:pt idx="50">
                  <c:v>0.056</c:v>
                </c:pt>
                <c:pt idx="51">
                  <c:v>0.05</c:v>
                </c:pt>
                <c:pt idx="52">
                  <c:v>0.044</c:v>
                </c:pt>
                <c:pt idx="53">
                  <c:v>0.039</c:v>
                </c:pt>
                <c:pt idx="54">
                  <c:v>0.035</c:v>
                </c:pt>
                <c:pt idx="55">
                  <c:v>0.03</c:v>
                </c:pt>
                <c:pt idx="56">
                  <c:v>0.03</c:v>
                </c:pt>
                <c:pt idx="57">
                  <c:v>0.03</c:v>
                </c:pt>
                <c:pt idx="58">
                  <c:v>0.03</c:v>
                </c:pt>
                <c:pt idx="59">
                  <c:v>0.03</c:v>
                </c:pt>
                <c:pt idx="60">
                  <c:v>0.03</c:v>
                </c:pt>
                <c:pt idx="61">
                  <c:v>0.03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0.056</c:v>
                </c:pt>
                <c:pt idx="69">
                  <c:v>0.06</c:v>
                </c:pt>
                <c:pt idx="70">
                  <c:v>0.068</c:v>
                </c:pt>
                <c:pt idx="71">
                  <c:v>0.069</c:v>
                </c:pt>
                <c:pt idx="72">
                  <c:v>0.075</c:v>
                </c:pt>
                <c:pt idx="73">
                  <c:v>0.079</c:v>
                </c:pt>
                <c:pt idx="74">
                  <c:v>0.076</c:v>
                </c:pt>
                <c:pt idx="75">
                  <c:v>0.071</c:v>
                </c:pt>
                <c:pt idx="76">
                  <c:v>0.067</c:v>
                </c:pt>
                <c:pt idx="77">
                  <c:v>0.067</c:v>
                </c:pt>
                <c:pt idx="78">
                  <c:v>0.069</c:v>
                </c:pt>
                <c:pt idx="79">
                  <c:v>0.066</c:v>
                </c:pt>
                <c:pt idx="80">
                  <c:v>0.068</c:v>
                </c:pt>
                <c:pt idx="81">
                  <c:v>0.07</c:v>
                </c:pt>
                <c:pt idx="82">
                  <c:v>0.067</c:v>
                </c:pt>
                <c:pt idx="83">
                  <c:v>0.059</c:v>
                </c:pt>
                <c:pt idx="84">
                  <c:v>0.054</c:v>
                </c:pt>
                <c:pt idx="85">
                  <c:v>0.048</c:v>
                </c:pt>
                <c:pt idx="86">
                  <c:v>0.043</c:v>
                </c:pt>
                <c:pt idx="87">
                  <c:v>0.036</c:v>
                </c:pt>
                <c:pt idx="88">
                  <c:v>0.033</c:v>
                </c:pt>
                <c:pt idx="89">
                  <c:v>0.03</c:v>
                </c:pt>
                <c:pt idx="90">
                  <c:v>0.03</c:v>
                </c:pt>
                <c:pt idx="91">
                  <c:v>0.03</c:v>
                </c:pt>
                <c:pt idx="92">
                  <c:v>0.03</c:v>
                </c:pt>
                <c:pt idx="93">
                  <c:v>0.03</c:v>
                </c:pt>
                <c:pt idx="94">
                  <c:v>0.03</c:v>
                </c:pt>
                <c:pt idx="95">
                  <c:v>0.03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0.053</c:v>
                </c:pt>
                <c:pt idx="102">
                  <c:v>0.054</c:v>
                </c:pt>
                <c:pt idx="103">
                  <c:v>0.06</c:v>
                </c:pt>
                <c:pt idx="104">
                  <c:v>0.065</c:v>
                </c:pt>
                <c:pt idx="105">
                  <c:v>0.07</c:v>
                </c:pt>
                <c:pt idx="106">
                  <c:v>0.076</c:v>
                </c:pt>
                <c:pt idx="107">
                  <c:v>0.079</c:v>
                </c:pt>
                <c:pt idx="108">
                  <c:v>0.075</c:v>
                </c:pt>
                <c:pt idx="109">
                  <c:v>0.071</c:v>
                </c:pt>
                <c:pt idx="110">
                  <c:v>0.066</c:v>
                </c:pt>
                <c:pt idx="111">
                  <c:v>0.067</c:v>
                </c:pt>
                <c:pt idx="112">
                  <c:v>0.064</c:v>
                </c:pt>
                <c:pt idx="113">
                  <c:v>0.067</c:v>
                </c:pt>
                <c:pt idx="114">
                  <c:v>0.067</c:v>
                </c:pt>
                <c:pt idx="115">
                  <c:v>0.067</c:v>
                </c:pt>
                <c:pt idx="116">
                  <c:v>0.064</c:v>
                </c:pt>
                <c:pt idx="117">
                  <c:v>0.055</c:v>
                </c:pt>
                <c:pt idx="118">
                  <c:v>0.05</c:v>
                </c:pt>
                <c:pt idx="119">
                  <c:v>0.043</c:v>
                </c:pt>
                <c:pt idx="120">
                  <c:v>0.039</c:v>
                </c:pt>
                <c:pt idx="121">
                  <c:v>0.035</c:v>
                </c:pt>
                <c:pt idx="122">
                  <c:v>0.031</c:v>
                </c:pt>
                <c:pt idx="123">
                  <c:v>0.03</c:v>
                </c:pt>
                <c:pt idx="124">
                  <c:v>0.03</c:v>
                </c:pt>
                <c:pt idx="125">
                  <c:v>0.03</c:v>
                </c:pt>
                <c:pt idx="126">
                  <c:v>0.03</c:v>
                </c:pt>
                <c:pt idx="127">
                  <c:v>0.03</c:v>
                </c:pt>
                <c:pt idx="128">
                  <c:v>0.03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6197085"/>
        <c:axId val="66127685"/>
      </c:lineChart>
      <c:catAx>
        <c:axId val="361970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27685"/>
        <c:crosses val="autoZero"/>
        <c:auto val="1"/>
        <c:lblAlgn val="ctr"/>
        <c:lblOffset val="100"/>
        <c:noMultiLvlLbl val="0"/>
      </c:catAx>
      <c:valAx>
        <c:axId val="66127685"/>
        <c:scaling>
          <c:orientation val="minMax"/>
          <c:max val="0.09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cmd_v (m/s)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97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15</xdr:row>
      <xdr:rowOff>144720</xdr:rowOff>
    </xdr:to>
    <xdr:graphicFrame>
      <xdr:nvGraphicFramePr>
        <xdr:cNvPr id="0" name="Chart 1"/>
        <xdr:cNvGraphicFramePr/>
      </xdr:nvGraphicFramePr>
      <xdr:xfrm>
        <a:off x="1132524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</xdr:row>
      <xdr:rowOff>160920</xdr:rowOff>
    </xdr:from>
    <xdr:to>
      <xdr:col>27</xdr:col>
      <xdr:colOff>364680</xdr:colOff>
      <xdr:row>15</xdr:row>
      <xdr:rowOff>144720</xdr:rowOff>
    </xdr:to>
    <xdr:graphicFrame>
      <xdr:nvGraphicFramePr>
        <xdr:cNvPr id="1" name="Chart 2"/>
        <xdr:cNvGraphicFramePr/>
      </xdr:nvGraphicFramePr>
      <xdr:xfrm>
        <a:off x="18051840" y="5716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160920</xdr:rowOff>
    </xdr:from>
    <xdr:to>
      <xdr:col>16</xdr:col>
      <xdr:colOff>364680</xdr:colOff>
      <xdr:row>35</xdr:row>
      <xdr:rowOff>182880</xdr:rowOff>
    </xdr:to>
    <xdr:graphicFrame>
      <xdr:nvGraphicFramePr>
        <xdr:cNvPr id="2" name="Chart 3"/>
        <xdr:cNvGraphicFramePr/>
      </xdr:nvGraphicFramePr>
      <xdr:xfrm>
        <a:off x="11325240" y="44197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20</xdr:row>
      <xdr:rowOff>160920</xdr:rowOff>
    </xdr:from>
    <xdr:to>
      <xdr:col>27</xdr:col>
      <xdr:colOff>364680</xdr:colOff>
      <xdr:row>35</xdr:row>
      <xdr:rowOff>182880</xdr:rowOff>
    </xdr:to>
    <xdr:graphicFrame>
      <xdr:nvGraphicFramePr>
        <xdr:cNvPr id="3" name="Chart 4"/>
        <xdr:cNvGraphicFramePr/>
      </xdr:nvGraphicFramePr>
      <xdr:xfrm>
        <a:off x="18051840" y="44197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30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48" hidden="false" customHeight="true" outlineLevel="0" collapsed="false">
      <c r="A5" s="4" t="s">
        <v>7</v>
      </c>
      <c r="B5" s="4" t="s">
        <v>8</v>
      </c>
      <c r="C5" s="4" t="s">
        <v>9</v>
      </c>
    </row>
    <row r="6" customFormat="false" ht="15" hidden="false" customHeight="false" outlineLevel="0" collapsed="false">
      <c r="A6" s="5" t="s">
        <v>10</v>
      </c>
      <c r="B6" s="6" t="n">
        <f aca="false">COUNTIF('Baseline Data'!$B$2:$B$95,"FOLLOW")</f>
        <v>75</v>
      </c>
      <c r="C6" s="6" t="n">
        <f aca="false">COUNTIF('Dual PID Data'!$B$2:$B$136,"FOLLOW")</f>
        <v>112</v>
      </c>
      <c r="D6" s="6" t="n">
        <f aca="false">C6-B6</f>
        <v>37</v>
      </c>
      <c r="E6" s="5" t="s">
        <v>11</v>
      </c>
    </row>
    <row r="7" customFormat="false" ht="15" hidden="false" customHeight="false" outlineLevel="0" collapsed="false">
      <c r="A7" s="5" t="s">
        <v>12</v>
      </c>
      <c r="B7" s="6" t="n">
        <f aca="false">COUNTIF(Corners!$A$2:$A$9,"Baseline")</f>
        <v>4</v>
      </c>
      <c r="C7" s="6" t="n">
        <f aca="false">COUNTIF(Corners!$A$2:$A$9,"Dual PID")</f>
        <v>4</v>
      </c>
      <c r="D7" s="6" t="n">
        <f aca="false">C7-B7</f>
        <v>0</v>
      </c>
      <c r="E7" s="5" t="s">
        <v>13</v>
      </c>
    </row>
    <row r="8" customFormat="false" ht="15" hidden="false" customHeight="false" outlineLevel="0" collapsed="false">
      <c r="A8" s="5" t="s">
        <v>14</v>
      </c>
      <c r="B8" s="7" t="n">
        <f aca="false">MAX('Baseline Data'!$A$2:$A$95)</f>
        <v>96.75</v>
      </c>
      <c r="C8" s="7" t="n">
        <f aca="false">MAX('Dual PID Data'!$A$2:$A$136)</f>
        <v>139.08</v>
      </c>
      <c r="D8" s="8" t="n">
        <f aca="false">C8-B8</f>
        <v>42.33</v>
      </c>
      <c r="E8" s="5" t="s">
        <v>15</v>
      </c>
    </row>
    <row r="9" customFormat="false" ht="15" hidden="false" customHeight="false" outlineLevel="0" collapsed="false">
      <c r="A9" s="5" t="s">
        <v>16</v>
      </c>
      <c r="B9" s="9" t="n">
        <f aca="false">SQRT(SUMPRODUCT(('Baseline Data'!$B$2:$B$95="FOLLOW")*('Baseline Data'!$D$2:$D$95)^2)/B6)</f>
        <v>0.0128410799130499</v>
      </c>
      <c r="C9" s="9" t="n">
        <f aca="false">SQRT(SUMPRODUCT(('Dual PID Data'!$B$2:$B$136="FOLLOW")*('Dual PID Data'!$D$2:$D$136)^2)/C6)</f>
        <v>0.0137334315761627</v>
      </c>
      <c r="D9" s="10" t="n">
        <f aca="false">C9-B9</f>
        <v>0.000892351663112819</v>
      </c>
      <c r="E9" s="5" t="s">
        <v>17</v>
      </c>
    </row>
    <row r="10" customFormat="false" ht="15" hidden="false" customHeight="false" outlineLevel="0" collapsed="false">
      <c r="A10" s="5" t="s">
        <v>18</v>
      </c>
      <c r="B10" s="11" t="n">
        <f aca="false">B9*100</f>
        <v>1.28410799130499</v>
      </c>
      <c r="C10" s="11" t="n">
        <f aca="false">C9*100</f>
        <v>1.37334315761627</v>
      </c>
      <c r="D10" s="12" t="n">
        <f aca="false">C10-B10</f>
        <v>0.089235166311282</v>
      </c>
      <c r="E10" s="5" t="s">
        <v>19</v>
      </c>
    </row>
    <row r="11" customFormat="false" ht="15" hidden="false" customHeight="false" outlineLevel="0" collapsed="false">
      <c r="A11" s="5" t="s">
        <v>20</v>
      </c>
      <c r="B11" s="9" t="n">
        <f aca="false">AVERAGEIF('Baseline Data'!$B$2:$B$95,"FOLLOW",'Baseline Data'!$D$2:$D$95)</f>
        <v>0.00116</v>
      </c>
      <c r="C11" s="9" t="n">
        <f aca="false">AVERAGEIF('Dual PID Data'!$B$2:$B$136,"FOLLOW",'Dual PID Data'!$D$2:$D$136)</f>
        <v>0.00205357142857143</v>
      </c>
      <c r="D11" s="10" t="n">
        <f aca="false">C11-B11</f>
        <v>0.000893571428571429</v>
      </c>
      <c r="E11" s="5" t="s">
        <v>21</v>
      </c>
    </row>
    <row r="12" customFormat="false" ht="15" hidden="false" customHeight="false" outlineLevel="0" collapsed="false">
      <c r="A12" s="5" t="s">
        <v>22</v>
      </c>
      <c r="B12" s="13" t="n">
        <f aca="false">IF(_xlfn.MAXIFS('Baseline Data'!$D$2:$D$95,'Baseline Data'!$B$2:$B$95,"FOLLOW")&gt;=-_xlfn.MINIFS('Baseline Data'!$D$2:$D$95,'Baseline Data'!$B$2:$B$95,"FOLLOW"),_xlfn.MAXIFS('Baseline Data'!$D$2:$D$95,'Baseline Data'!$B$2:$B$95,"FOLLOW"),_xlfn.MINIFS('Baseline Data'!$D$2:$D$95,'Baseline Data'!$B$2:$B$95,"FOLLOW"))</f>
        <v>-0.03</v>
      </c>
      <c r="C12" s="13" t="n">
        <f aca="false">IF(_xlfn.MAXIFS('Dual PID Data'!$D$2:$D$136,'Dual PID Data'!$B$2:$B$136,"FOLLOW")&gt;=-_xlfn.MINIFS('Dual PID Data'!$D$2:$D$136,'Dual PID Data'!$B$2:$B$136,"FOLLOW"),_xlfn.MAXIFS('Dual PID Data'!$D$2:$D$136,'Dual PID Data'!$B$2:$B$136,"FOLLOW"),_xlfn.MINIFS('Dual PID Data'!$D$2:$D$136,'Dual PID Data'!$B$2:$B$136,"FOLLOW"))</f>
        <v>-0.038</v>
      </c>
      <c r="D12" s="14" t="n">
        <f aca="false">C12-B12</f>
        <v>-0.008</v>
      </c>
      <c r="E12" s="5" t="s">
        <v>23</v>
      </c>
    </row>
    <row r="13" customFormat="false" ht="15" hidden="false" customHeight="false" outlineLevel="0" collapsed="false">
      <c r="A13" s="5" t="s">
        <v>24</v>
      </c>
      <c r="B13" s="15" t="n">
        <f aca="false">COUNTIFS('Baseline Data'!$B$2:$B$95,"FOLLOW",'Baseline Data'!$D$2:$D$95,"&gt;=-0.01",'Baseline Data'!$D$2:$D$95,"&lt;=0.01")/B6</f>
        <v>0.493333333333333</v>
      </c>
      <c r="C13" s="15" t="n">
        <f aca="false">COUNTIFS('Dual PID Data'!$B$2:$B$136,"FOLLOW",'Dual PID Data'!$D$2:$D$136,"&gt;=-0.01",'Dual PID Data'!$D$2:$D$136,"&lt;=0.01")/C6</f>
        <v>0.553571428571429</v>
      </c>
      <c r="D13" s="16" t="n">
        <f aca="false">C13-B13</f>
        <v>0.0602380952380953</v>
      </c>
      <c r="E13" s="5" t="s">
        <v>25</v>
      </c>
    </row>
    <row r="14" customFormat="false" ht="15" hidden="false" customHeight="false" outlineLevel="0" collapsed="false">
      <c r="A14" s="5" t="s">
        <v>26</v>
      </c>
      <c r="B14" s="15" t="n">
        <f aca="false">COUNTIFS('Baseline Data'!$B$2:$B$95,"FOLLOW",'Baseline Data'!$D$2:$D$95,"&gt;=-0.02",'Baseline Data'!$D$2:$D$95,"&lt;=0.02")/B6</f>
        <v>0.906666666666667</v>
      </c>
      <c r="C14" s="15" t="n">
        <f aca="false">COUNTIFS('Dual PID Data'!$B$2:$B$136,"FOLLOW",'Dual PID Data'!$D$2:$D$136,"&gt;=-0.02",'Dual PID Data'!$D$2:$D$136,"&lt;=0.02")/C6</f>
        <v>0.866071428571429</v>
      </c>
      <c r="D14" s="16" t="n">
        <f aca="false">C14-B14</f>
        <v>-0.040595238095238</v>
      </c>
      <c r="E14" s="5" t="s">
        <v>27</v>
      </c>
    </row>
    <row r="15" customFormat="false" ht="15" hidden="false" customHeight="false" outlineLevel="0" collapsed="false">
      <c r="A15" s="5" t="s">
        <v>28</v>
      </c>
      <c r="B15" s="13" t="n">
        <f aca="false">_xlfn.MINIFS('Baseline Data'!$C$2:$C$95,'Baseline Data'!$B$2:$B$95,"FOLLOW")</f>
        <v>0.278</v>
      </c>
      <c r="C15" s="13" t="n">
        <f aca="false">_xlfn.MINIFS('Dual PID Data'!$C$2:$C$136,'Dual PID Data'!$B$2:$B$136,"FOLLOW")</f>
        <v>0.274</v>
      </c>
      <c r="D15" s="14" t="n">
        <f aca="false">C15-B15</f>
        <v>-0.004</v>
      </c>
      <c r="E15" s="5" t="s">
        <v>29</v>
      </c>
    </row>
    <row r="16" customFormat="false" ht="15" hidden="false" customHeight="false" outlineLevel="0" collapsed="false">
      <c r="A16" s="5" t="s">
        <v>30</v>
      </c>
      <c r="B16" s="13" t="n">
        <f aca="false">_xlfn.MAXIFS('Baseline Data'!$C$2:$C$95,'Baseline Data'!$B$2:$B$95,"FOLLOW")</f>
        <v>0.33</v>
      </c>
      <c r="C16" s="13" t="n">
        <f aca="false">_xlfn.MAXIFS('Dual PID Data'!$C$2:$C$136,'Dual PID Data'!$B$2:$B$136,"FOLLOW")</f>
        <v>0.338</v>
      </c>
      <c r="D16" s="14" t="n">
        <f aca="false">C16-B16</f>
        <v>0.00800000000000001</v>
      </c>
      <c r="E16" s="5" t="s">
        <v>31</v>
      </c>
    </row>
    <row r="17" customFormat="false" ht="15" hidden="false" customHeight="false" outlineLevel="0" collapsed="false">
      <c r="A17" s="5" t="s">
        <v>32</v>
      </c>
      <c r="B17" s="13" t="n">
        <f aca="false">AVERAGEIF('Baseline Data'!$B$2:$B$95,"FOLLOW",'Baseline Data'!$G$2:$G$95)</f>
        <v>0.0736</v>
      </c>
      <c r="C17" s="13" t="n">
        <f aca="false">AVERAGEIF('Dual PID Data'!$B$2:$B$136,"FOLLOW",'Dual PID Data'!$G$2:$G$136)</f>
        <v>0.0541071428571429</v>
      </c>
      <c r="D17" s="14" t="n">
        <f aca="false">C17-B17</f>
        <v>-0.0194928571428572</v>
      </c>
      <c r="E17" s="5" t="s">
        <v>33</v>
      </c>
    </row>
    <row r="18" customFormat="false" ht="15" hidden="false" customHeight="false" outlineLevel="0" collapsed="false">
      <c r="A18" s="5" t="s">
        <v>34</v>
      </c>
      <c r="B18" s="11" t="n">
        <f aca="false">AVERAGEIF(Corners!$A$2:$A$9,"Baseline",Corners!$E$2:$E$9)</f>
        <v>4.59</v>
      </c>
      <c r="C18" s="11" t="n">
        <f aca="false">AVERAGEIF(Corners!$A$2:$A$9,"Dual PID",Corners!$E$2:$E$9)</f>
        <v>5.96249999999999</v>
      </c>
      <c r="D18" s="12" t="n">
        <f aca="false">C18-B18</f>
        <v>1.37249999999999</v>
      </c>
      <c r="E18" s="5" t="s">
        <v>35</v>
      </c>
    </row>
    <row r="20" customFormat="false" ht="15" hidden="false" customHeight="false" outlineLevel="0" collapsed="false">
      <c r="A20" s="17" t="s">
        <v>36</v>
      </c>
    </row>
    <row r="21" customFormat="false" ht="15" hidden="false" customHeight="false" outlineLevel="0" collapsed="false">
      <c r="A21" s="1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10" style="0" width="80"/>
  </cols>
  <sheetData>
    <row r="1" customFormat="false" ht="26.85" hidden="false" customHeight="false" outlineLevel="0" collapsed="false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J1" s="18" t="s">
        <v>46</v>
      </c>
    </row>
    <row r="2" customFormat="false" ht="15" hidden="false" customHeight="false" outlineLevel="0" collapsed="false">
      <c r="A2" s="19" t="n">
        <v>0</v>
      </c>
      <c r="B2" s="20" t="s">
        <v>47</v>
      </c>
      <c r="C2" s="21" t="n">
        <v>0.33</v>
      </c>
      <c r="D2" s="21" t="n">
        <v>-0.03</v>
      </c>
      <c r="E2" s="21" t="n">
        <v>1.8</v>
      </c>
      <c r="F2" s="21" t="n">
        <v>0.427</v>
      </c>
      <c r="G2" s="21" t="n">
        <v>0.08</v>
      </c>
      <c r="H2" s="21" t="n">
        <v>0.03</v>
      </c>
      <c r="J2" s="2" t="s">
        <v>48</v>
      </c>
    </row>
    <row r="3" customFormat="false" ht="15" hidden="false" customHeight="false" outlineLevel="0" collapsed="false">
      <c r="A3" s="19" t="n">
        <v>1.03</v>
      </c>
      <c r="B3" s="20" t="s">
        <v>47</v>
      </c>
      <c r="C3" s="21" t="n">
        <v>0.328</v>
      </c>
      <c r="D3" s="21" t="n">
        <v>-0.028</v>
      </c>
      <c r="E3" s="21" t="n">
        <v>1.731</v>
      </c>
      <c r="F3" s="21" t="n">
        <v>0.422</v>
      </c>
      <c r="G3" s="21" t="n">
        <v>0.08</v>
      </c>
      <c r="H3" s="21" t="n">
        <v>0.028</v>
      </c>
      <c r="J3" s="2" t="s">
        <v>49</v>
      </c>
    </row>
    <row r="4" customFormat="false" ht="15" hidden="false" customHeight="false" outlineLevel="0" collapsed="false">
      <c r="A4" s="19" t="n">
        <v>2.07</v>
      </c>
      <c r="B4" s="20" t="s">
        <v>47</v>
      </c>
      <c r="C4" s="21" t="n">
        <v>0.326</v>
      </c>
      <c r="D4" s="21" t="n">
        <v>-0.026</v>
      </c>
      <c r="E4" s="21" t="n">
        <v>1.655</v>
      </c>
      <c r="F4" s="21" t="n">
        <v>0.414</v>
      </c>
      <c r="G4" s="21" t="n">
        <v>0.08</v>
      </c>
      <c r="H4" s="21" t="n">
        <v>0.027</v>
      </c>
      <c r="J4" s="2" t="s">
        <v>50</v>
      </c>
    </row>
    <row r="5" customFormat="false" ht="15" hidden="false" customHeight="false" outlineLevel="0" collapsed="false">
      <c r="A5" s="19" t="n">
        <v>3.12</v>
      </c>
      <c r="B5" s="20" t="s">
        <v>47</v>
      </c>
      <c r="C5" s="21" t="n">
        <v>0.322</v>
      </c>
      <c r="D5" s="21" t="n">
        <v>-0.022</v>
      </c>
      <c r="E5" s="21" t="n">
        <v>1.572</v>
      </c>
      <c r="F5" s="21" t="n">
        <v>0.41</v>
      </c>
      <c r="G5" s="21" t="n">
        <v>0.08</v>
      </c>
      <c r="H5" s="21" t="n">
        <v>0.022</v>
      </c>
    </row>
    <row r="6" customFormat="false" ht="15" hidden="false" customHeight="false" outlineLevel="0" collapsed="false">
      <c r="A6" s="19" t="n">
        <v>4.14</v>
      </c>
      <c r="B6" s="20" t="s">
        <v>47</v>
      </c>
      <c r="C6" s="21" t="n">
        <v>0.32</v>
      </c>
      <c r="D6" s="21" t="n">
        <v>-0.02</v>
      </c>
      <c r="E6" s="21" t="n">
        <v>1.495</v>
      </c>
      <c r="F6" s="21" t="n">
        <v>0.402</v>
      </c>
      <c r="G6" s="21" t="n">
        <v>0.08</v>
      </c>
      <c r="H6" s="21" t="n">
        <v>0.02</v>
      </c>
    </row>
    <row r="7" customFormat="false" ht="15" hidden="false" customHeight="false" outlineLevel="0" collapsed="false">
      <c r="A7" s="19" t="n">
        <v>5.18</v>
      </c>
      <c r="B7" s="20" t="s">
        <v>47</v>
      </c>
      <c r="C7" s="21" t="n">
        <v>0.315</v>
      </c>
      <c r="D7" s="21" t="n">
        <v>-0.015</v>
      </c>
      <c r="E7" s="21" t="n">
        <v>1.413</v>
      </c>
      <c r="F7" s="21" t="n">
        <v>0.402</v>
      </c>
      <c r="G7" s="21" t="n">
        <v>0.08</v>
      </c>
      <c r="H7" s="21" t="n">
        <v>0.016</v>
      </c>
    </row>
    <row r="8" customFormat="false" ht="15" hidden="false" customHeight="false" outlineLevel="0" collapsed="false">
      <c r="A8" s="19" t="n">
        <v>6.21</v>
      </c>
      <c r="B8" s="20" t="s">
        <v>47</v>
      </c>
      <c r="C8" s="21" t="n">
        <v>0.311</v>
      </c>
      <c r="D8" s="21" t="n">
        <v>-0.011</v>
      </c>
      <c r="E8" s="21" t="n">
        <v>1.337</v>
      </c>
      <c r="F8" s="21" t="n">
        <v>0.389</v>
      </c>
      <c r="G8" s="21" t="n">
        <v>0.08</v>
      </c>
      <c r="H8" s="21" t="n">
        <v>0.011</v>
      </c>
    </row>
    <row r="9" customFormat="false" ht="15" hidden="false" customHeight="false" outlineLevel="0" collapsed="false">
      <c r="A9" s="19" t="n">
        <v>7.24</v>
      </c>
      <c r="B9" s="20" t="s">
        <v>47</v>
      </c>
      <c r="C9" s="21" t="n">
        <v>0.306</v>
      </c>
      <c r="D9" s="21" t="n">
        <v>-0.006</v>
      </c>
      <c r="E9" s="21" t="n">
        <v>1.257</v>
      </c>
      <c r="F9" s="21" t="n">
        <v>0.389</v>
      </c>
      <c r="G9" s="21" t="n">
        <v>0.08</v>
      </c>
      <c r="H9" s="21" t="n">
        <v>0.007</v>
      </c>
    </row>
    <row r="10" customFormat="false" ht="15" hidden="false" customHeight="false" outlineLevel="0" collapsed="false">
      <c r="A10" s="19" t="n">
        <v>8.28</v>
      </c>
      <c r="B10" s="20" t="s">
        <v>47</v>
      </c>
      <c r="C10" s="21" t="n">
        <v>0.302</v>
      </c>
      <c r="D10" s="21" t="n">
        <v>-0.002</v>
      </c>
      <c r="E10" s="21" t="n">
        <v>1.173</v>
      </c>
      <c r="F10" s="21" t="n">
        <v>0.381</v>
      </c>
      <c r="G10" s="21" t="n">
        <v>0.08</v>
      </c>
      <c r="H10" s="21" t="n">
        <v>0.003</v>
      </c>
    </row>
    <row r="11" customFormat="false" ht="15" hidden="false" customHeight="false" outlineLevel="0" collapsed="false">
      <c r="A11" s="19" t="n">
        <v>9.34</v>
      </c>
      <c r="B11" s="20" t="s">
        <v>47</v>
      </c>
      <c r="C11" s="21" t="n">
        <v>0.299</v>
      </c>
      <c r="D11" s="21" t="n">
        <v>0.001</v>
      </c>
      <c r="E11" s="21" t="n">
        <v>1.096</v>
      </c>
      <c r="F11" s="21" t="n">
        <v>0.376</v>
      </c>
      <c r="G11" s="21" t="n">
        <v>0.08</v>
      </c>
      <c r="H11" s="21" t="n">
        <v>0</v>
      </c>
    </row>
    <row r="12" customFormat="false" ht="15" hidden="false" customHeight="false" outlineLevel="0" collapsed="false">
      <c r="A12" s="19" t="n">
        <v>10.36</v>
      </c>
      <c r="B12" s="20" t="s">
        <v>47</v>
      </c>
      <c r="C12" s="21" t="n">
        <v>0.295</v>
      </c>
      <c r="D12" s="21" t="n">
        <v>0.005</v>
      </c>
      <c r="E12" s="21" t="n">
        <v>1.013</v>
      </c>
      <c r="F12" s="21" t="n">
        <v>0.376</v>
      </c>
      <c r="G12" s="21" t="n">
        <v>0.08</v>
      </c>
      <c r="H12" s="21" t="n">
        <v>-0.004</v>
      </c>
    </row>
    <row r="13" customFormat="false" ht="15" hidden="false" customHeight="false" outlineLevel="0" collapsed="false">
      <c r="A13" s="19" t="n">
        <v>11.38</v>
      </c>
      <c r="B13" s="20" t="s">
        <v>47</v>
      </c>
      <c r="C13" s="21" t="n">
        <v>0.291</v>
      </c>
      <c r="D13" s="21" t="n">
        <v>0.009</v>
      </c>
      <c r="E13" s="21" t="n">
        <v>0.934</v>
      </c>
      <c r="F13" s="21" t="n">
        <v>0.371</v>
      </c>
      <c r="G13" s="21" t="n">
        <v>0.08</v>
      </c>
      <c r="H13" s="21" t="n">
        <v>-0.008</v>
      </c>
    </row>
    <row r="14" customFormat="false" ht="15" hidden="false" customHeight="false" outlineLevel="0" collapsed="false">
      <c r="A14" s="19" t="n">
        <v>12.43</v>
      </c>
      <c r="B14" s="20" t="s">
        <v>47</v>
      </c>
      <c r="C14" s="21" t="n">
        <v>0.288</v>
      </c>
      <c r="D14" s="21" t="n">
        <v>0.012</v>
      </c>
      <c r="E14" s="21" t="n">
        <v>0.85</v>
      </c>
      <c r="F14" s="21" t="n">
        <v>0.366</v>
      </c>
      <c r="G14" s="21" t="n">
        <v>0.08</v>
      </c>
      <c r="H14" s="21" t="n">
        <v>-0.011</v>
      </c>
    </row>
    <row r="15" customFormat="false" ht="15" hidden="false" customHeight="false" outlineLevel="0" collapsed="false">
      <c r="A15" s="19" t="n">
        <v>13.46</v>
      </c>
      <c r="B15" s="20" t="s">
        <v>47</v>
      </c>
      <c r="C15" s="21" t="n">
        <v>0.285</v>
      </c>
      <c r="D15" s="21" t="n">
        <v>0.015</v>
      </c>
      <c r="E15" s="21" t="n">
        <v>0.77</v>
      </c>
      <c r="F15" s="21" t="n">
        <v>0.357</v>
      </c>
      <c r="G15" s="21" t="n">
        <v>0.08</v>
      </c>
      <c r="H15" s="21" t="n">
        <v>-0.015</v>
      </c>
    </row>
    <row r="16" customFormat="false" ht="15" hidden="false" customHeight="false" outlineLevel="0" collapsed="false">
      <c r="A16" s="19" t="n">
        <v>14.48</v>
      </c>
      <c r="B16" s="20" t="s">
        <v>47</v>
      </c>
      <c r="C16" s="21" t="n">
        <v>0.282</v>
      </c>
      <c r="D16" s="21" t="n">
        <v>0.018</v>
      </c>
      <c r="E16" s="21" t="n">
        <v>0.691</v>
      </c>
      <c r="F16" s="21" t="n">
        <v>0.36</v>
      </c>
      <c r="G16" s="21" t="n">
        <v>0.08</v>
      </c>
      <c r="H16" s="21" t="n">
        <v>-0.017</v>
      </c>
    </row>
    <row r="17" customFormat="false" ht="15" hidden="false" customHeight="false" outlineLevel="0" collapsed="false">
      <c r="A17" s="19" t="n">
        <v>15.51</v>
      </c>
      <c r="B17" s="20" t="s">
        <v>47</v>
      </c>
      <c r="C17" s="21" t="n">
        <v>0.28</v>
      </c>
      <c r="D17" s="21" t="n">
        <v>0.02</v>
      </c>
      <c r="E17" s="21" t="n">
        <v>0.61</v>
      </c>
      <c r="F17" s="21" t="n">
        <v>0.365</v>
      </c>
      <c r="G17" s="21" t="n">
        <v>0.08</v>
      </c>
      <c r="H17" s="21" t="n">
        <v>-0.019</v>
      </c>
    </row>
    <row r="18" customFormat="false" ht="15" hidden="false" customHeight="false" outlineLevel="0" collapsed="false">
      <c r="A18" s="19" t="n">
        <v>16.55</v>
      </c>
      <c r="B18" s="20" t="s">
        <v>47</v>
      </c>
      <c r="C18" s="21" t="n">
        <v>0.278</v>
      </c>
      <c r="D18" s="21" t="n">
        <v>0.022</v>
      </c>
      <c r="E18" s="21" t="n">
        <v>0.528</v>
      </c>
      <c r="F18" s="21" t="n">
        <v>0.367</v>
      </c>
      <c r="G18" s="21" t="n">
        <v>0.08</v>
      </c>
      <c r="H18" s="21" t="n">
        <v>-0.022</v>
      </c>
    </row>
    <row r="19" customFormat="false" ht="15" hidden="false" customHeight="false" outlineLevel="0" collapsed="false">
      <c r="A19" s="19" t="n">
        <v>17.58</v>
      </c>
      <c r="B19" s="20" t="s">
        <v>47</v>
      </c>
      <c r="C19" s="21" t="n">
        <v>0.279</v>
      </c>
      <c r="D19" s="21" t="n">
        <v>0.021</v>
      </c>
      <c r="E19" s="21" t="n">
        <v>0.458</v>
      </c>
      <c r="F19" s="21" t="n">
        <v>0.376</v>
      </c>
      <c r="G19" s="21" t="n">
        <v>0.04</v>
      </c>
      <c r="H19" s="21" t="n">
        <v>-0.021</v>
      </c>
    </row>
    <row r="20" customFormat="false" ht="15" hidden="false" customHeight="false" outlineLevel="0" collapsed="false">
      <c r="A20" s="19" t="n">
        <v>18.63</v>
      </c>
      <c r="B20" s="20" t="s">
        <v>47</v>
      </c>
      <c r="C20" s="21" t="n">
        <v>0.28</v>
      </c>
      <c r="D20" s="21" t="n">
        <v>0.02</v>
      </c>
      <c r="E20" s="21" t="n">
        <v>0.415</v>
      </c>
      <c r="F20" s="21" t="n">
        <v>0.373</v>
      </c>
      <c r="G20" s="21" t="n">
        <v>0.04</v>
      </c>
      <c r="H20" s="21" t="n">
        <v>-0.019</v>
      </c>
    </row>
    <row r="21" customFormat="false" ht="15" hidden="false" customHeight="false" outlineLevel="0" collapsed="false">
      <c r="A21" s="19" t="n">
        <v>19.65</v>
      </c>
      <c r="B21" s="20" t="s">
        <v>47</v>
      </c>
      <c r="C21" s="21" t="n">
        <v>0.279</v>
      </c>
      <c r="D21" s="21" t="n">
        <v>0.021</v>
      </c>
      <c r="E21" s="21" t="n">
        <v>0.375</v>
      </c>
      <c r="F21" s="21" t="n">
        <v>0.386</v>
      </c>
      <c r="G21" s="21" t="n">
        <v>0.04</v>
      </c>
      <c r="H21" s="21" t="n">
        <v>-0.021</v>
      </c>
    </row>
    <row r="22" customFormat="false" ht="15" hidden="false" customHeight="false" outlineLevel="0" collapsed="false">
      <c r="A22" s="19" t="n">
        <v>20.68</v>
      </c>
      <c r="B22" s="20" t="s">
        <v>51</v>
      </c>
      <c r="C22" s="21" t="n">
        <v>0.281</v>
      </c>
      <c r="D22" s="21" t="n">
        <v>0.019</v>
      </c>
      <c r="E22" s="21" t="n">
        <v>0.342</v>
      </c>
      <c r="F22" s="21" t="n">
        <v>0.382</v>
      </c>
      <c r="G22" s="21" t="n">
        <v>0</v>
      </c>
      <c r="H22" s="21" t="n">
        <v>-0.4</v>
      </c>
    </row>
    <row r="23" customFormat="false" ht="15" hidden="false" customHeight="false" outlineLevel="0" collapsed="false">
      <c r="A23" s="19" t="n">
        <v>21.71</v>
      </c>
      <c r="B23" s="20" t="s">
        <v>51</v>
      </c>
      <c r="C23" s="21" t="n">
        <v>0.314</v>
      </c>
      <c r="D23" s="21" t="n">
        <v>-0.014</v>
      </c>
      <c r="E23" s="21" t="n">
        <v>0.36</v>
      </c>
      <c r="F23" s="21" t="n">
        <v>0.339</v>
      </c>
      <c r="G23" s="21" t="n">
        <v>0</v>
      </c>
      <c r="H23" s="21" t="n">
        <v>-0.4</v>
      </c>
    </row>
    <row r="24" customFormat="false" ht="15" hidden="false" customHeight="false" outlineLevel="0" collapsed="false">
      <c r="A24" s="19" t="n">
        <v>22.78</v>
      </c>
      <c r="B24" s="20" t="s">
        <v>51</v>
      </c>
      <c r="C24" s="21" t="n">
        <v>0.399</v>
      </c>
      <c r="D24" s="21" t="n">
        <v>-0.099</v>
      </c>
      <c r="E24" s="21" t="n">
        <v>0.453</v>
      </c>
      <c r="F24" s="21" t="n">
        <v>0.33</v>
      </c>
      <c r="G24" s="21" t="n">
        <v>0</v>
      </c>
      <c r="H24" s="21" t="n">
        <v>-0.4</v>
      </c>
    </row>
    <row r="25" customFormat="false" ht="15" hidden="false" customHeight="false" outlineLevel="0" collapsed="false">
      <c r="A25" s="19" t="n">
        <v>23.87</v>
      </c>
      <c r="B25" s="20" t="s">
        <v>51</v>
      </c>
      <c r="C25" s="21" t="n">
        <v>0.325</v>
      </c>
      <c r="D25" s="21" t="n">
        <v>-0.025</v>
      </c>
      <c r="E25" s="21" t="n">
        <v>0.848</v>
      </c>
      <c r="F25" s="21" t="n">
        <v>0.349</v>
      </c>
      <c r="G25" s="21" t="n">
        <v>0</v>
      </c>
      <c r="H25" s="21" t="n">
        <v>-0.4</v>
      </c>
    </row>
    <row r="26" customFormat="false" ht="15" hidden="false" customHeight="false" outlineLevel="0" collapsed="false">
      <c r="A26" s="19" t="n">
        <v>25.01</v>
      </c>
      <c r="B26" s="20" t="s">
        <v>47</v>
      </c>
      <c r="C26" s="21" t="n">
        <v>0.312</v>
      </c>
      <c r="D26" s="21" t="n">
        <v>-0.012</v>
      </c>
      <c r="E26" s="21" t="n">
        <v>1.716</v>
      </c>
      <c r="F26" s="21" t="n">
        <v>0.407</v>
      </c>
      <c r="G26" s="21" t="n">
        <v>0.08</v>
      </c>
      <c r="H26" s="21" t="n">
        <v>0.012</v>
      </c>
    </row>
    <row r="27" customFormat="false" ht="15" hidden="false" customHeight="false" outlineLevel="0" collapsed="false">
      <c r="A27" s="19" t="n">
        <v>26.05</v>
      </c>
      <c r="B27" s="20" t="s">
        <v>47</v>
      </c>
      <c r="C27" s="21" t="n">
        <v>0.312</v>
      </c>
      <c r="D27" s="21" t="n">
        <v>-0.012</v>
      </c>
      <c r="E27" s="21" t="n">
        <v>1.648</v>
      </c>
      <c r="F27" s="21" t="n">
        <v>0.409</v>
      </c>
      <c r="G27" s="21" t="n">
        <v>0.08</v>
      </c>
      <c r="H27" s="21" t="n">
        <v>0.012</v>
      </c>
    </row>
    <row r="28" customFormat="false" ht="15" hidden="false" customHeight="false" outlineLevel="0" collapsed="false">
      <c r="A28" s="19" t="n">
        <v>27.07</v>
      </c>
      <c r="B28" s="20" t="s">
        <v>47</v>
      </c>
      <c r="C28" s="21" t="n">
        <v>0.312</v>
      </c>
      <c r="D28" s="21" t="n">
        <v>-0.012</v>
      </c>
      <c r="E28" s="21" t="n">
        <v>1.571</v>
      </c>
      <c r="F28" s="21" t="n">
        <v>0.403</v>
      </c>
      <c r="G28" s="21" t="n">
        <v>0.08</v>
      </c>
      <c r="H28" s="21" t="n">
        <v>0.012</v>
      </c>
    </row>
    <row r="29" customFormat="false" ht="15" hidden="false" customHeight="false" outlineLevel="0" collapsed="false">
      <c r="A29" s="19" t="n">
        <v>28.11</v>
      </c>
      <c r="B29" s="20" t="s">
        <v>47</v>
      </c>
      <c r="C29" s="21" t="n">
        <v>0.312</v>
      </c>
      <c r="D29" s="21" t="n">
        <v>-0.012</v>
      </c>
      <c r="E29" s="21" t="n">
        <v>1.49</v>
      </c>
      <c r="F29" s="21" t="n">
        <v>0.407</v>
      </c>
      <c r="G29" s="21" t="n">
        <v>0.08</v>
      </c>
      <c r="H29" s="21" t="n">
        <v>0.012</v>
      </c>
    </row>
    <row r="30" customFormat="false" ht="15" hidden="false" customHeight="false" outlineLevel="0" collapsed="false">
      <c r="A30" s="19" t="n">
        <v>29.15</v>
      </c>
      <c r="B30" s="20" t="s">
        <v>47</v>
      </c>
      <c r="C30" s="21" t="n">
        <v>0.31</v>
      </c>
      <c r="D30" s="21" t="n">
        <v>-0.01</v>
      </c>
      <c r="E30" s="21" t="n">
        <v>1.41</v>
      </c>
      <c r="F30" s="21" t="n">
        <v>0.396</v>
      </c>
      <c r="G30" s="21" t="n">
        <v>0.08</v>
      </c>
      <c r="H30" s="21" t="n">
        <v>0.01</v>
      </c>
    </row>
    <row r="31" customFormat="false" ht="15" hidden="false" customHeight="false" outlineLevel="0" collapsed="false">
      <c r="A31" s="19" t="n">
        <v>30.19</v>
      </c>
      <c r="B31" s="20" t="s">
        <v>47</v>
      </c>
      <c r="C31" s="21" t="n">
        <v>0.31</v>
      </c>
      <c r="D31" s="21" t="n">
        <v>-0.01</v>
      </c>
      <c r="E31" s="21" t="n">
        <v>1.334</v>
      </c>
      <c r="F31" s="21" t="n">
        <v>0.404</v>
      </c>
      <c r="G31" s="21" t="n">
        <v>0.08</v>
      </c>
      <c r="H31" s="21" t="n">
        <v>0.01</v>
      </c>
    </row>
    <row r="32" customFormat="false" ht="15" hidden="false" customHeight="false" outlineLevel="0" collapsed="false">
      <c r="A32" s="19" t="n">
        <v>31.22</v>
      </c>
      <c r="B32" s="20" t="s">
        <v>47</v>
      </c>
      <c r="C32" s="21" t="n">
        <v>0.307</v>
      </c>
      <c r="D32" s="21" t="n">
        <v>-0.007</v>
      </c>
      <c r="E32" s="21" t="n">
        <v>1.255</v>
      </c>
      <c r="F32" s="21" t="n">
        <v>0.392</v>
      </c>
      <c r="G32" s="21" t="n">
        <v>0.08</v>
      </c>
      <c r="H32" s="21" t="n">
        <v>0.007</v>
      </c>
    </row>
    <row r="33" customFormat="false" ht="15" hidden="false" customHeight="false" outlineLevel="0" collapsed="false">
      <c r="A33" s="19" t="n">
        <v>32.27</v>
      </c>
      <c r="B33" s="20" t="s">
        <v>47</v>
      </c>
      <c r="C33" s="21" t="n">
        <v>0.306</v>
      </c>
      <c r="D33" s="21" t="n">
        <v>-0.006</v>
      </c>
      <c r="E33" s="21" t="n">
        <v>1.174</v>
      </c>
      <c r="F33" s="21" t="n">
        <v>0.395</v>
      </c>
      <c r="G33" s="21" t="n">
        <v>0.08</v>
      </c>
      <c r="H33" s="21" t="n">
        <v>0.006</v>
      </c>
    </row>
    <row r="34" customFormat="false" ht="15" hidden="false" customHeight="false" outlineLevel="0" collapsed="false">
      <c r="A34" s="19" t="n">
        <v>33.29</v>
      </c>
      <c r="B34" s="20" t="s">
        <v>47</v>
      </c>
      <c r="C34" s="21" t="n">
        <v>0.304</v>
      </c>
      <c r="D34" s="21" t="n">
        <v>-0.004</v>
      </c>
      <c r="E34" s="21" t="n">
        <v>1.094</v>
      </c>
      <c r="F34" s="21" t="n">
        <v>0.389</v>
      </c>
      <c r="G34" s="21" t="n">
        <v>0.08</v>
      </c>
      <c r="H34" s="21" t="n">
        <v>0.005</v>
      </c>
    </row>
    <row r="35" customFormat="false" ht="15" hidden="false" customHeight="false" outlineLevel="0" collapsed="false">
      <c r="A35" s="19" t="n">
        <v>34.35</v>
      </c>
      <c r="B35" s="20" t="s">
        <v>47</v>
      </c>
      <c r="C35" s="21" t="n">
        <v>0.303</v>
      </c>
      <c r="D35" s="21" t="n">
        <v>-0.003</v>
      </c>
      <c r="E35" s="21" t="n">
        <v>1.015</v>
      </c>
      <c r="F35" s="21" t="n">
        <v>0.391</v>
      </c>
      <c r="G35" s="21" t="n">
        <v>0.08</v>
      </c>
      <c r="H35" s="21" t="n">
        <v>0.003</v>
      </c>
    </row>
    <row r="36" customFormat="false" ht="15" hidden="false" customHeight="false" outlineLevel="0" collapsed="false">
      <c r="A36" s="19" t="n">
        <v>35.36</v>
      </c>
      <c r="B36" s="20" t="s">
        <v>47</v>
      </c>
      <c r="C36" s="21" t="n">
        <v>0.302</v>
      </c>
      <c r="D36" s="21" t="n">
        <v>-0.002</v>
      </c>
      <c r="E36" s="21" t="n">
        <v>0.936</v>
      </c>
      <c r="F36" s="21" t="n">
        <v>0.389</v>
      </c>
      <c r="G36" s="21" t="n">
        <v>0.08</v>
      </c>
      <c r="H36" s="21" t="n">
        <v>0.003</v>
      </c>
    </row>
    <row r="37" customFormat="false" ht="15" hidden="false" customHeight="false" outlineLevel="0" collapsed="false">
      <c r="A37" s="19" t="n">
        <v>36.42</v>
      </c>
      <c r="B37" s="20" t="s">
        <v>47</v>
      </c>
      <c r="C37" s="21" t="n">
        <v>0.299</v>
      </c>
      <c r="D37" s="21" t="n">
        <v>0.001</v>
      </c>
      <c r="E37" s="21" t="n">
        <v>0.856</v>
      </c>
      <c r="F37" s="21" t="n">
        <v>0.387</v>
      </c>
      <c r="G37" s="21" t="n">
        <v>0.08</v>
      </c>
      <c r="H37" s="21" t="n">
        <v>-0.001</v>
      </c>
    </row>
    <row r="38" customFormat="false" ht="15" hidden="false" customHeight="false" outlineLevel="0" collapsed="false">
      <c r="A38" s="19" t="n">
        <v>37.45</v>
      </c>
      <c r="B38" s="20" t="s">
        <v>47</v>
      </c>
      <c r="C38" s="21" t="n">
        <v>0.297</v>
      </c>
      <c r="D38" s="21" t="n">
        <v>0.003</v>
      </c>
      <c r="E38" s="21" t="n">
        <v>0.776</v>
      </c>
      <c r="F38" s="21" t="n">
        <v>0.383</v>
      </c>
      <c r="G38" s="21" t="n">
        <v>0.08</v>
      </c>
      <c r="H38" s="21" t="n">
        <v>-0.002</v>
      </c>
    </row>
    <row r="39" customFormat="false" ht="15" hidden="false" customHeight="false" outlineLevel="0" collapsed="false">
      <c r="A39" s="19" t="n">
        <v>38.49</v>
      </c>
      <c r="B39" s="20" t="s">
        <v>47</v>
      </c>
      <c r="C39" s="21" t="n">
        <v>0.295</v>
      </c>
      <c r="D39" s="21" t="n">
        <v>0.005</v>
      </c>
      <c r="E39" s="21" t="n">
        <v>0.696</v>
      </c>
      <c r="F39" s="21" t="n">
        <v>0.382</v>
      </c>
      <c r="G39" s="21" t="n">
        <v>0.08</v>
      </c>
      <c r="H39" s="21" t="n">
        <v>-0.005</v>
      </c>
    </row>
    <row r="40" customFormat="false" ht="15" hidden="false" customHeight="false" outlineLevel="0" collapsed="false">
      <c r="A40" s="19" t="n">
        <v>39.52</v>
      </c>
      <c r="B40" s="20" t="s">
        <v>47</v>
      </c>
      <c r="C40" s="21" t="n">
        <v>0.292</v>
      </c>
      <c r="D40" s="21" t="n">
        <v>0.008</v>
      </c>
      <c r="E40" s="21" t="n">
        <v>0.615</v>
      </c>
      <c r="F40" s="21" t="n">
        <v>0.374</v>
      </c>
      <c r="G40" s="21" t="n">
        <v>0.08</v>
      </c>
      <c r="H40" s="21" t="n">
        <v>-0.008</v>
      </c>
    </row>
    <row r="41" customFormat="false" ht="15" hidden="false" customHeight="false" outlineLevel="0" collapsed="false">
      <c r="A41" s="19" t="n">
        <v>40.56</v>
      </c>
      <c r="B41" s="20" t="s">
        <v>47</v>
      </c>
      <c r="C41" s="21" t="n">
        <v>0.291</v>
      </c>
      <c r="D41" s="21" t="n">
        <v>0.009</v>
      </c>
      <c r="E41" s="21" t="n">
        <v>0.535</v>
      </c>
      <c r="F41" s="21" t="n">
        <v>0.375</v>
      </c>
      <c r="G41" s="21" t="n">
        <v>0.08</v>
      </c>
      <c r="H41" s="21" t="n">
        <v>-0.009</v>
      </c>
    </row>
    <row r="42" customFormat="false" ht="15" hidden="false" customHeight="false" outlineLevel="0" collapsed="false">
      <c r="A42" s="19" t="n">
        <v>41.61</v>
      </c>
      <c r="B42" s="20" t="s">
        <v>47</v>
      </c>
      <c r="C42" s="21" t="n">
        <v>0.288</v>
      </c>
      <c r="D42" s="21" t="n">
        <v>0.012</v>
      </c>
      <c r="E42" s="21" t="n">
        <v>0.462</v>
      </c>
      <c r="F42" s="21" t="n">
        <v>0.374</v>
      </c>
      <c r="G42" s="21" t="n">
        <v>0.04</v>
      </c>
      <c r="H42" s="21" t="n">
        <v>-0.012</v>
      </c>
    </row>
    <row r="43" customFormat="false" ht="15" hidden="false" customHeight="false" outlineLevel="0" collapsed="false">
      <c r="A43" s="19" t="n">
        <v>42.63</v>
      </c>
      <c r="B43" s="20" t="s">
        <v>47</v>
      </c>
      <c r="C43" s="21" t="n">
        <v>0.288</v>
      </c>
      <c r="D43" s="21" t="n">
        <v>0.012</v>
      </c>
      <c r="E43" s="21" t="n">
        <v>0.421</v>
      </c>
      <c r="F43" s="21" t="n">
        <v>0.371</v>
      </c>
      <c r="G43" s="21" t="n">
        <v>0.04</v>
      </c>
      <c r="H43" s="21" t="n">
        <v>-0.012</v>
      </c>
    </row>
    <row r="44" customFormat="false" ht="15" hidden="false" customHeight="false" outlineLevel="0" collapsed="false">
      <c r="A44" s="19" t="n">
        <v>43.67</v>
      </c>
      <c r="B44" s="20" t="s">
        <v>47</v>
      </c>
      <c r="C44" s="21" t="n">
        <v>0.286</v>
      </c>
      <c r="D44" s="21" t="n">
        <v>0.014</v>
      </c>
      <c r="E44" s="21" t="n">
        <v>0.38</v>
      </c>
      <c r="F44" s="21" t="n">
        <v>0.376</v>
      </c>
      <c r="G44" s="21" t="n">
        <v>0.04</v>
      </c>
      <c r="H44" s="21" t="n">
        <v>-0.014</v>
      </c>
    </row>
    <row r="45" customFormat="false" ht="15" hidden="false" customHeight="false" outlineLevel="0" collapsed="false">
      <c r="A45" s="19" t="n">
        <v>44.7</v>
      </c>
      <c r="B45" s="20" t="s">
        <v>51</v>
      </c>
      <c r="C45" s="21" t="n">
        <v>0.286</v>
      </c>
      <c r="D45" s="21" t="n">
        <v>0.014</v>
      </c>
      <c r="E45" s="21" t="n">
        <v>0.343</v>
      </c>
      <c r="F45" s="21" t="n">
        <v>0.378</v>
      </c>
      <c r="G45" s="21" t="n">
        <v>0</v>
      </c>
      <c r="H45" s="21" t="n">
        <v>-0.4</v>
      </c>
    </row>
    <row r="46" customFormat="false" ht="15" hidden="false" customHeight="false" outlineLevel="0" collapsed="false">
      <c r="A46" s="19" t="n">
        <v>45.74</v>
      </c>
      <c r="B46" s="20" t="s">
        <v>51</v>
      </c>
      <c r="C46" s="21" t="n">
        <v>0.302</v>
      </c>
      <c r="D46" s="21" t="n">
        <v>-0.002</v>
      </c>
      <c r="E46" s="21" t="n">
        <v>0.351</v>
      </c>
      <c r="F46" s="21" t="n">
        <v>0.345</v>
      </c>
      <c r="G46" s="21" t="n">
        <v>0</v>
      </c>
      <c r="H46" s="21" t="n">
        <v>-0.4</v>
      </c>
    </row>
    <row r="47" customFormat="false" ht="15" hidden="false" customHeight="false" outlineLevel="0" collapsed="false">
      <c r="A47" s="19" t="n">
        <v>46.77</v>
      </c>
      <c r="B47" s="20" t="s">
        <v>51</v>
      </c>
      <c r="C47" s="21" t="n">
        <v>0.39</v>
      </c>
      <c r="D47" s="21" t="n">
        <v>-0.09</v>
      </c>
      <c r="E47" s="21" t="n">
        <v>0.416</v>
      </c>
      <c r="F47" s="21" t="n">
        <v>0.334</v>
      </c>
      <c r="G47" s="21" t="n">
        <v>0</v>
      </c>
      <c r="H47" s="21" t="n">
        <v>-0.4</v>
      </c>
    </row>
    <row r="48" customFormat="false" ht="15" hidden="false" customHeight="false" outlineLevel="0" collapsed="false">
      <c r="A48" s="19" t="n">
        <v>47.8</v>
      </c>
      <c r="B48" s="20" t="s">
        <v>51</v>
      </c>
      <c r="C48" s="21" t="n">
        <v>0.345</v>
      </c>
      <c r="D48" s="21" t="n">
        <v>-0.045</v>
      </c>
      <c r="E48" s="21" t="n">
        <v>0.622</v>
      </c>
      <c r="F48" s="21" t="n">
        <v>0.338</v>
      </c>
      <c r="G48" s="21" t="n">
        <v>0</v>
      </c>
      <c r="H48" s="21" t="n">
        <v>-0.4</v>
      </c>
    </row>
    <row r="49" customFormat="false" ht="15" hidden="false" customHeight="false" outlineLevel="0" collapsed="false">
      <c r="A49" s="19" t="n">
        <v>48.84</v>
      </c>
      <c r="B49" s="20" t="s">
        <v>51</v>
      </c>
      <c r="C49" s="21" t="n">
        <v>0.314</v>
      </c>
      <c r="D49" s="21" t="n">
        <v>-0.014</v>
      </c>
      <c r="E49" s="21" t="n">
        <v>1.527</v>
      </c>
      <c r="F49" s="21" t="n">
        <v>0.39</v>
      </c>
      <c r="G49" s="21" t="n">
        <v>0</v>
      </c>
      <c r="H49" s="21" t="n">
        <v>-0.12</v>
      </c>
    </row>
    <row r="50" customFormat="false" ht="15" hidden="false" customHeight="false" outlineLevel="0" collapsed="false">
      <c r="A50" s="19" t="n">
        <v>49.86</v>
      </c>
      <c r="B50" s="20" t="s">
        <v>47</v>
      </c>
      <c r="C50" s="21" t="n">
        <v>0.312</v>
      </c>
      <c r="D50" s="21" t="n">
        <v>-0.012</v>
      </c>
      <c r="E50" s="21" t="n">
        <v>1.671</v>
      </c>
      <c r="F50" s="21" t="n">
        <v>0.395</v>
      </c>
      <c r="G50" s="21" t="n">
        <v>0.08</v>
      </c>
      <c r="H50" s="21" t="n">
        <v>0.012</v>
      </c>
    </row>
    <row r="51" customFormat="false" ht="15" hidden="false" customHeight="false" outlineLevel="0" collapsed="false">
      <c r="A51" s="19" t="n">
        <v>50.89</v>
      </c>
      <c r="B51" s="20" t="s">
        <v>47</v>
      </c>
      <c r="C51" s="21" t="n">
        <v>0.311</v>
      </c>
      <c r="D51" s="21" t="n">
        <v>-0.011</v>
      </c>
      <c r="E51" s="21" t="n">
        <v>1.588</v>
      </c>
      <c r="F51" s="21" t="n">
        <v>0.394</v>
      </c>
      <c r="G51" s="21" t="n">
        <v>0.08</v>
      </c>
      <c r="H51" s="21" t="n">
        <v>0.011</v>
      </c>
    </row>
    <row r="52" customFormat="false" ht="15" hidden="false" customHeight="false" outlineLevel="0" collapsed="false">
      <c r="A52" s="19" t="n">
        <v>51.93</v>
      </c>
      <c r="B52" s="20" t="s">
        <v>47</v>
      </c>
      <c r="C52" s="21" t="n">
        <v>0.307</v>
      </c>
      <c r="D52" s="21" t="n">
        <v>-0.007</v>
      </c>
      <c r="E52" s="21" t="n">
        <v>1.509</v>
      </c>
      <c r="F52" s="21" t="n">
        <v>0.398</v>
      </c>
      <c r="G52" s="21" t="n">
        <v>0.08</v>
      </c>
      <c r="H52" s="21" t="n">
        <v>0.006</v>
      </c>
    </row>
    <row r="53" customFormat="false" ht="15" hidden="false" customHeight="false" outlineLevel="0" collapsed="false">
      <c r="A53" s="19" t="n">
        <v>52.96</v>
      </c>
      <c r="B53" s="20" t="s">
        <v>47</v>
      </c>
      <c r="C53" s="21" t="n">
        <v>0.305</v>
      </c>
      <c r="D53" s="21" t="n">
        <v>-0.005</v>
      </c>
      <c r="E53" s="21" t="n">
        <v>1.429</v>
      </c>
      <c r="F53" s="21" t="n">
        <v>0.391</v>
      </c>
      <c r="G53" s="21" t="n">
        <v>0.08</v>
      </c>
      <c r="H53" s="21" t="n">
        <v>0.005</v>
      </c>
    </row>
    <row r="54" customFormat="false" ht="15" hidden="false" customHeight="false" outlineLevel="0" collapsed="false">
      <c r="A54" s="19" t="n">
        <v>54</v>
      </c>
      <c r="B54" s="20" t="s">
        <v>47</v>
      </c>
      <c r="C54" s="21" t="n">
        <v>0.302</v>
      </c>
      <c r="D54" s="21" t="n">
        <v>-0.002</v>
      </c>
      <c r="E54" s="21" t="n">
        <v>1.349</v>
      </c>
      <c r="F54" s="21" t="n">
        <v>0.389</v>
      </c>
      <c r="G54" s="21" t="n">
        <v>0.08</v>
      </c>
      <c r="H54" s="21" t="n">
        <v>0.002</v>
      </c>
    </row>
    <row r="55" customFormat="false" ht="15" hidden="false" customHeight="false" outlineLevel="0" collapsed="false">
      <c r="A55" s="19" t="n">
        <v>55.04</v>
      </c>
      <c r="B55" s="20" t="s">
        <v>47</v>
      </c>
      <c r="C55" s="21" t="n">
        <v>0.3</v>
      </c>
      <c r="D55" s="21" t="n">
        <v>0</v>
      </c>
      <c r="E55" s="21" t="n">
        <v>1.266</v>
      </c>
      <c r="F55" s="21" t="n">
        <v>0.383</v>
      </c>
      <c r="G55" s="21" t="n">
        <v>0.08</v>
      </c>
      <c r="H55" s="21" t="n">
        <v>0.001</v>
      </c>
    </row>
    <row r="56" customFormat="false" ht="15" hidden="false" customHeight="false" outlineLevel="0" collapsed="false">
      <c r="A56" s="19" t="n">
        <v>56.07</v>
      </c>
      <c r="B56" s="20" t="s">
        <v>47</v>
      </c>
      <c r="C56" s="21" t="n">
        <v>0.297</v>
      </c>
      <c r="D56" s="21" t="n">
        <v>0.003</v>
      </c>
      <c r="E56" s="21" t="n">
        <v>1.186</v>
      </c>
      <c r="F56" s="21" t="n">
        <v>0.388</v>
      </c>
      <c r="G56" s="21" t="n">
        <v>0.08</v>
      </c>
      <c r="H56" s="21" t="n">
        <v>-0.003</v>
      </c>
    </row>
    <row r="57" customFormat="false" ht="15" hidden="false" customHeight="false" outlineLevel="0" collapsed="false">
      <c r="A57" s="19" t="n">
        <v>57.1</v>
      </c>
      <c r="B57" s="20" t="s">
        <v>47</v>
      </c>
      <c r="C57" s="21" t="n">
        <v>0.295</v>
      </c>
      <c r="D57" s="21" t="n">
        <v>0.005</v>
      </c>
      <c r="E57" s="21" t="n">
        <v>1.108</v>
      </c>
      <c r="F57" s="21" t="n">
        <v>0.382</v>
      </c>
      <c r="G57" s="21" t="n">
        <v>0.08</v>
      </c>
      <c r="H57" s="21" t="n">
        <v>-0.005</v>
      </c>
    </row>
    <row r="58" customFormat="false" ht="15" hidden="false" customHeight="false" outlineLevel="0" collapsed="false">
      <c r="A58" s="19" t="n">
        <v>58.14</v>
      </c>
      <c r="B58" s="20" t="s">
        <v>47</v>
      </c>
      <c r="C58" s="21" t="n">
        <v>0.292</v>
      </c>
      <c r="D58" s="21" t="n">
        <v>0.008</v>
      </c>
      <c r="E58" s="21" t="n">
        <v>1.028</v>
      </c>
      <c r="F58" s="21" t="n">
        <v>0.377</v>
      </c>
      <c r="G58" s="21" t="n">
        <v>0.08</v>
      </c>
      <c r="H58" s="21" t="n">
        <v>-0.008</v>
      </c>
    </row>
    <row r="59" customFormat="false" ht="15" hidden="false" customHeight="false" outlineLevel="0" collapsed="false">
      <c r="A59" s="19" t="n">
        <v>59.18</v>
      </c>
      <c r="B59" s="20" t="s">
        <v>47</v>
      </c>
      <c r="C59" s="21" t="n">
        <v>0.291</v>
      </c>
      <c r="D59" s="21" t="n">
        <v>0.009</v>
      </c>
      <c r="E59" s="21" t="n">
        <v>0.941</v>
      </c>
      <c r="F59" s="21" t="n">
        <v>0.377</v>
      </c>
      <c r="G59" s="21" t="n">
        <v>0.08</v>
      </c>
      <c r="H59" s="21" t="n">
        <v>-0.009</v>
      </c>
    </row>
    <row r="60" customFormat="false" ht="15" hidden="false" customHeight="false" outlineLevel="0" collapsed="false">
      <c r="A60" s="19" t="n">
        <v>60.22</v>
      </c>
      <c r="B60" s="20" t="s">
        <v>47</v>
      </c>
      <c r="C60" s="21" t="n">
        <v>0.289</v>
      </c>
      <c r="D60" s="21" t="n">
        <v>0.011</v>
      </c>
      <c r="E60" s="21" t="n">
        <v>0.866</v>
      </c>
      <c r="F60" s="21" t="n">
        <v>0.374</v>
      </c>
      <c r="G60" s="21" t="n">
        <v>0.08</v>
      </c>
      <c r="H60" s="21" t="n">
        <v>-0.011</v>
      </c>
    </row>
    <row r="61" customFormat="false" ht="15" hidden="false" customHeight="false" outlineLevel="0" collapsed="false">
      <c r="A61" s="19" t="n">
        <v>61.26</v>
      </c>
      <c r="B61" s="20" t="s">
        <v>47</v>
      </c>
      <c r="C61" s="21" t="n">
        <v>0.288</v>
      </c>
      <c r="D61" s="21" t="n">
        <v>0.012</v>
      </c>
      <c r="E61" s="21" t="n">
        <v>0.785</v>
      </c>
      <c r="F61" s="21" t="n">
        <v>0.376</v>
      </c>
      <c r="G61" s="21" t="n">
        <v>0.08</v>
      </c>
      <c r="H61" s="21" t="n">
        <v>-0.012</v>
      </c>
    </row>
    <row r="62" customFormat="false" ht="15" hidden="false" customHeight="false" outlineLevel="0" collapsed="false">
      <c r="A62" s="19" t="n">
        <v>62.29</v>
      </c>
      <c r="B62" s="20" t="s">
        <v>47</v>
      </c>
      <c r="C62" s="21" t="n">
        <v>0.289</v>
      </c>
      <c r="D62" s="21" t="n">
        <v>0.011</v>
      </c>
      <c r="E62" s="21" t="n">
        <v>0.704</v>
      </c>
      <c r="F62" s="21" t="n">
        <v>0.378</v>
      </c>
      <c r="G62" s="21" t="n">
        <v>0.08</v>
      </c>
      <c r="H62" s="21" t="n">
        <v>-0.011</v>
      </c>
    </row>
    <row r="63" customFormat="false" ht="15" hidden="false" customHeight="false" outlineLevel="0" collapsed="false">
      <c r="A63" s="19" t="n">
        <v>63.33</v>
      </c>
      <c r="B63" s="20" t="s">
        <v>47</v>
      </c>
      <c r="C63" s="21" t="n">
        <v>0.29</v>
      </c>
      <c r="D63" s="21" t="n">
        <v>0.01</v>
      </c>
      <c r="E63" s="21" t="n">
        <v>0.624</v>
      </c>
      <c r="F63" s="21" t="n">
        <v>0.381</v>
      </c>
      <c r="G63" s="21" t="n">
        <v>0.08</v>
      </c>
      <c r="H63" s="21" t="n">
        <v>-0.01</v>
      </c>
    </row>
    <row r="64" customFormat="false" ht="15" hidden="false" customHeight="false" outlineLevel="0" collapsed="false">
      <c r="A64" s="19" t="n">
        <v>64.36</v>
      </c>
      <c r="B64" s="20" t="s">
        <v>47</v>
      </c>
      <c r="C64" s="21" t="n">
        <v>0.292</v>
      </c>
      <c r="D64" s="21" t="n">
        <v>0.008</v>
      </c>
      <c r="E64" s="21" t="n">
        <v>0.542</v>
      </c>
      <c r="F64" s="21" t="n">
        <v>0.387</v>
      </c>
      <c r="G64" s="21" t="n">
        <v>0.08</v>
      </c>
      <c r="H64" s="21" t="n">
        <v>-0.008</v>
      </c>
    </row>
    <row r="65" customFormat="false" ht="15" hidden="false" customHeight="false" outlineLevel="0" collapsed="false">
      <c r="A65" s="19" t="n">
        <v>65.4</v>
      </c>
      <c r="B65" s="20" t="s">
        <v>47</v>
      </c>
      <c r="C65" s="21" t="n">
        <v>0.293</v>
      </c>
      <c r="D65" s="21" t="n">
        <v>0.007</v>
      </c>
      <c r="E65" s="21" t="n">
        <v>0.466</v>
      </c>
      <c r="F65" s="21" t="n">
        <v>0.392</v>
      </c>
      <c r="G65" s="21" t="n">
        <v>0.04</v>
      </c>
      <c r="H65" s="21" t="n">
        <v>-0.006</v>
      </c>
    </row>
    <row r="66" customFormat="false" ht="15" hidden="false" customHeight="false" outlineLevel="0" collapsed="false">
      <c r="A66" s="19" t="n">
        <v>66.43</v>
      </c>
      <c r="B66" s="20" t="s">
        <v>47</v>
      </c>
      <c r="C66" s="21" t="n">
        <v>0.294</v>
      </c>
      <c r="D66" s="21" t="n">
        <v>0.006</v>
      </c>
      <c r="E66" s="21" t="n">
        <v>0.427</v>
      </c>
      <c r="F66" s="21" t="n">
        <v>0.397</v>
      </c>
      <c r="G66" s="21" t="n">
        <v>0.04</v>
      </c>
      <c r="H66" s="21" t="n">
        <v>-0.006</v>
      </c>
    </row>
    <row r="67" customFormat="false" ht="15" hidden="false" customHeight="false" outlineLevel="0" collapsed="false">
      <c r="A67" s="19" t="n">
        <v>67.5</v>
      </c>
      <c r="B67" s="20" t="s">
        <v>47</v>
      </c>
      <c r="C67" s="21" t="n">
        <v>0.295</v>
      </c>
      <c r="D67" s="21" t="n">
        <v>0.005</v>
      </c>
      <c r="E67" s="21" t="n">
        <v>0.386</v>
      </c>
      <c r="F67" s="21" t="n">
        <v>0.393</v>
      </c>
      <c r="G67" s="21" t="n">
        <v>0.04</v>
      </c>
      <c r="H67" s="21" t="n">
        <v>-0.006</v>
      </c>
    </row>
    <row r="68" customFormat="false" ht="15" hidden="false" customHeight="false" outlineLevel="0" collapsed="false">
      <c r="A68" s="19" t="n">
        <v>68.61</v>
      </c>
      <c r="B68" s="20" t="s">
        <v>51</v>
      </c>
      <c r="C68" s="21" t="n">
        <v>0.295</v>
      </c>
      <c r="D68" s="21" t="n">
        <v>0.005</v>
      </c>
      <c r="E68" s="21" t="n">
        <v>0.347</v>
      </c>
      <c r="F68" s="21" t="n">
        <v>0.395</v>
      </c>
      <c r="G68" s="21" t="n">
        <v>0</v>
      </c>
      <c r="H68" s="21" t="n">
        <v>-0.4</v>
      </c>
    </row>
    <row r="69" customFormat="false" ht="15" hidden="false" customHeight="false" outlineLevel="0" collapsed="false">
      <c r="A69" s="19" t="n">
        <v>69.64</v>
      </c>
      <c r="B69" s="20" t="s">
        <v>51</v>
      </c>
      <c r="C69" s="21" t="n">
        <v>0.319</v>
      </c>
      <c r="D69" s="21" t="n">
        <v>-0.019</v>
      </c>
      <c r="E69" s="21" t="n">
        <v>0.357</v>
      </c>
      <c r="F69" s="21" t="n">
        <v>0.346</v>
      </c>
      <c r="G69" s="21" t="n">
        <v>0</v>
      </c>
      <c r="H69" s="21" t="n">
        <v>-0.4</v>
      </c>
    </row>
    <row r="70" customFormat="false" ht="15" hidden="false" customHeight="false" outlineLevel="0" collapsed="false">
      <c r="A70" s="19" t="n">
        <v>70.68</v>
      </c>
      <c r="B70" s="20" t="s">
        <v>51</v>
      </c>
      <c r="C70" s="21" t="n">
        <v>0.397</v>
      </c>
      <c r="D70" s="21" t="n">
        <v>-0.097</v>
      </c>
      <c r="E70" s="21" t="n">
        <v>0.43</v>
      </c>
      <c r="F70" s="21" t="n">
        <v>0.337</v>
      </c>
      <c r="G70" s="21" t="n">
        <v>0</v>
      </c>
      <c r="H70" s="21" t="n">
        <v>-0.4</v>
      </c>
    </row>
    <row r="71" customFormat="false" ht="15" hidden="false" customHeight="false" outlineLevel="0" collapsed="false">
      <c r="A71" s="19" t="n">
        <v>71.71</v>
      </c>
      <c r="B71" s="20" t="s">
        <v>51</v>
      </c>
      <c r="C71" s="21" t="n">
        <v>0.34</v>
      </c>
      <c r="D71" s="21" t="n">
        <v>-0.04</v>
      </c>
      <c r="E71" s="21" t="n">
        <v>0.692</v>
      </c>
      <c r="F71" s="21" t="n">
        <v>0.348</v>
      </c>
      <c r="G71" s="21" t="n">
        <v>0</v>
      </c>
      <c r="H71" s="21" t="n">
        <v>-0.4</v>
      </c>
    </row>
    <row r="72" customFormat="false" ht="15" hidden="false" customHeight="false" outlineLevel="0" collapsed="false">
      <c r="A72" s="19" t="n">
        <v>72.75</v>
      </c>
      <c r="B72" s="20" t="s">
        <v>51</v>
      </c>
      <c r="C72" s="21" t="n">
        <v>0.316</v>
      </c>
      <c r="D72" s="21" t="n">
        <v>-0.016</v>
      </c>
      <c r="E72" s="21" t="n">
        <v>1.706</v>
      </c>
      <c r="F72" s="21" t="n">
        <v>0.398</v>
      </c>
      <c r="G72" s="21" t="n">
        <v>0</v>
      </c>
      <c r="H72" s="21" t="n">
        <v>-0.12</v>
      </c>
    </row>
    <row r="73" customFormat="false" ht="15" hidden="false" customHeight="false" outlineLevel="0" collapsed="false">
      <c r="A73" s="19" t="n">
        <v>73.79</v>
      </c>
      <c r="B73" s="20" t="s">
        <v>47</v>
      </c>
      <c r="C73" s="21" t="n">
        <v>0.315</v>
      </c>
      <c r="D73" s="21" t="n">
        <v>-0.015</v>
      </c>
      <c r="E73" s="21" t="n">
        <v>1.668</v>
      </c>
      <c r="F73" s="21" t="n">
        <v>0.414</v>
      </c>
      <c r="G73" s="21" t="n">
        <v>0.08</v>
      </c>
      <c r="H73" s="21" t="n">
        <v>0.015</v>
      </c>
    </row>
    <row r="74" customFormat="false" ht="15" hidden="false" customHeight="false" outlineLevel="0" collapsed="false">
      <c r="A74" s="19" t="n">
        <v>74.83</v>
      </c>
      <c r="B74" s="20" t="s">
        <v>47</v>
      </c>
      <c r="C74" s="21" t="n">
        <v>0.316</v>
      </c>
      <c r="D74" s="21" t="n">
        <v>-0.016</v>
      </c>
      <c r="E74" s="21" t="n">
        <v>1.586</v>
      </c>
      <c r="F74" s="21" t="n">
        <v>0.41</v>
      </c>
      <c r="G74" s="21" t="n">
        <v>0.08</v>
      </c>
      <c r="H74" s="21" t="n">
        <v>0.016</v>
      </c>
    </row>
    <row r="75" customFormat="false" ht="15" hidden="false" customHeight="false" outlineLevel="0" collapsed="false">
      <c r="A75" s="19" t="n">
        <v>75.86</v>
      </c>
      <c r="B75" s="20" t="s">
        <v>47</v>
      </c>
      <c r="C75" s="21" t="n">
        <v>0.314</v>
      </c>
      <c r="D75" s="21" t="n">
        <v>-0.014</v>
      </c>
      <c r="E75" s="21" t="n">
        <v>1.507</v>
      </c>
      <c r="F75" s="21" t="n">
        <v>0.406</v>
      </c>
      <c r="G75" s="21" t="n">
        <v>0.08</v>
      </c>
      <c r="H75" s="21" t="n">
        <v>0.015</v>
      </c>
    </row>
    <row r="76" customFormat="false" ht="15" hidden="false" customHeight="false" outlineLevel="0" collapsed="false">
      <c r="A76" s="19" t="n">
        <v>76.91</v>
      </c>
      <c r="B76" s="20" t="s">
        <v>47</v>
      </c>
      <c r="C76" s="21" t="n">
        <v>0.313</v>
      </c>
      <c r="D76" s="21" t="n">
        <v>-0.013</v>
      </c>
      <c r="E76" s="21" t="n">
        <v>1.426</v>
      </c>
      <c r="F76" s="21" t="n">
        <v>0.399</v>
      </c>
      <c r="G76" s="21" t="n">
        <v>0.08</v>
      </c>
      <c r="H76" s="21" t="n">
        <v>0.013</v>
      </c>
    </row>
    <row r="77" customFormat="false" ht="15" hidden="false" customHeight="false" outlineLevel="0" collapsed="false">
      <c r="A77" s="19" t="n">
        <v>77.97</v>
      </c>
      <c r="B77" s="20" t="s">
        <v>47</v>
      </c>
      <c r="C77" s="21" t="n">
        <v>0.31</v>
      </c>
      <c r="D77" s="21" t="n">
        <v>-0.01</v>
      </c>
      <c r="E77" s="21" t="n">
        <v>1.347</v>
      </c>
      <c r="F77" s="21" t="n">
        <v>0.393</v>
      </c>
      <c r="G77" s="21" t="n">
        <v>0.08</v>
      </c>
      <c r="H77" s="21" t="n">
        <v>0.01</v>
      </c>
    </row>
    <row r="78" customFormat="false" ht="15" hidden="false" customHeight="false" outlineLevel="0" collapsed="false">
      <c r="A78" s="19" t="n">
        <v>78.99</v>
      </c>
      <c r="B78" s="20" t="s">
        <v>47</v>
      </c>
      <c r="C78" s="21" t="n">
        <v>0.307</v>
      </c>
      <c r="D78" s="21" t="n">
        <v>-0.007</v>
      </c>
      <c r="E78" s="21" t="n">
        <v>1.265</v>
      </c>
      <c r="F78" s="21" t="n">
        <v>0.388</v>
      </c>
      <c r="G78" s="21" t="n">
        <v>0.08</v>
      </c>
      <c r="H78" s="21" t="n">
        <v>0.007</v>
      </c>
    </row>
    <row r="79" customFormat="false" ht="15" hidden="false" customHeight="false" outlineLevel="0" collapsed="false">
      <c r="A79" s="19" t="n">
        <v>80.04</v>
      </c>
      <c r="B79" s="20" t="s">
        <v>47</v>
      </c>
      <c r="C79" s="21" t="n">
        <v>0.303</v>
      </c>
      <c r="D79" s="21" t="n">
        <v>-0.003</v>
      </c>
      <c r="E79" s="21" t="n">
        <v>1.185</v>
      </c>
      <c r="F79" s="21" t="n">
        <v>0.382</v>
      </c>
      <c r="G79" s="21" t="n">
        <v>0.08</v>
      </c>
      <c r="H79" s="21" t="n">
        <v>0.003</v>
      </c>
    </row>
    <row r="80" customFormat="false" ht="15" hidden="false" customHeight="false" outlineLevel="0" collapsed="false">
      <c r="A80" s="19" t="n">
        <v>81.08</v>
      </c>
      <c r="B80" s="20" t="s">
        <v>47</v>
      </c>
      <c r="C80" s="21" t="n">
        <v>0.3</v>
      </c>
      <c r="D80" s="21" t="n">
        <v>0</v>
      </c>
      <c r="E80" s="21" t="n">
        <v>1.1</v>
      </c>
      <c r="F80" s="21" t="n">
        <v>0.385</v>
      </c>
      <c r="G80" s="21" t="n">
        <v>0.08</v>
      </c>
      <c r="H80" s="21" t="n">
        <v>0</v>
      </c>
    </row>
    <row r="81" customFormat="false" ht="15" hidden="false" customHeight="false" outlineLevel="0" collapsed="false">
      <c r="A81" s="19" t="n">
        <v>82.12</v>
      </c>
      <c r="B81" s="20" t="s">
        <v>47</v>
      </c>
      <c r="C81" s="21" t="n">
        <v>0.298</v>
      </c>
      <c r="D81" s="21" t="n">
        <v>0.002</v>
      </c>
      <c r="E81" s="21" t="n">
        <v>1.022</v>
      </c>
      <c r="F81" s="21" t="n">
        <v>0.378</v>
      </c>
      <c r="G81" s="21" t="n">
        <v>0.08</v>
      </c>
      <c r="H81" s="21" t="n">
        <v>-0.002</v>
      </c>
    </row>
    <row r="82" customFormat="false" ht="15" hidden="false" customHeight="false" outlineLevel="0" collapsed="false">
      <c r="A82" s="19" t="n">
        <v>83.16</v>
      </c>
      <c r="B82" s="20" t="s">
        <v>47</v>
      </c>
      <c r="C82" s="21" t="n">
        <v>0.295</v>
      </c>
      <c r="D82" s="21" t="n">
        <v>0.005</v>
      </c>
      <c r="E82" s="21" t="n">
        <v>0.94</v>
      </c>
      <c r="F82" s="21" t="n">
        <v>0.377</v>
      </c>
      <c r="G82" s="21" t="n">
        <v>0.08</v>
      </c>
      <c r="H82" s="21" t="n">
        <v>-0.005</v>
      </c>
    </row>
    <row r="83" customFormat="false" ht="15" hidden="false" customHeight="false" outlineLevel="0" collapsed="false">
      <c r="A83" s="19" t="n">
        <v>84.21</v>
      </c>
      <c r="B83" s="20" t="s">
        <v>47</v>
      </c>
      <c r="C83" s="21" t="n">
        <v>0.293</v>
      </c>
      <c r="D83" s="21" t="n">
        <v>0.007</v>
      </c>
      <c r="E83" s="21" t="n">
        <v>0.86</v>
      </c>
      <c r="F83" s="21" t="n">
        <v>0.372</v>
      </c>
      <c r="G83" s="21" t="n">
        <v>0.08</v>
      </c>
      <c r="H83" s="21" t="n">
        <v>-0.007</v>
      </c>
    </row>
    <row r="84" customFormat="false" ht="15" hidden="false" customHeight="false" outlineLevel="0" collapsed="false">
      <c r="A84" s="19" t="n">
        <v>85.24</v>
      </c>
      <c r="B84" s="20" t="s">
        <v>47</v>
      </c>
      <c r="C84" s="21" t="n">
        <v>0.289</v>
      </c>
      <c r="D84" s="21" t="n">
        <v>0.011</v>
      </c>
      <c r="E84" s="21" t="n">
        <v>0.781</v>
      </c>
      <c r="F84" s="21" t="n">
        <v>0.366</v>
      </c>
      <c r="G84" s="21" t="n">
        <v>0.08</v>
      </c>
      <c r="H84" s="21" t="n">
        <v>-0.011</v>
      </c>
    </row>
    <row r="85" customFormat="false" ht="15" hidden="false" customHeight="false" outlineLevel="0" collapsed="false">
      <c r="A85" s="19" t="n">
        <v>86.34</v>
      </c>
      <c r="B85" s="20" t="s">
        <v>47</v>
      </c>
      <c r="C85" s="21" t="n">
        <v>0.287</v>
      </c>
      <c r="D85" s="21" t="n">
        <v>0.013</v>
      </c>
      <c r="E85" s="21" t="n">
        <v>0.699</v>
      </c>
      <c r="F85" s="21" t="n">
        <v>0.365</v>
      </c>
      <c r="G85" s="21" t="n">
        <v>0.08</v>
      </c>
      <c r="H85" s="21" t="n">
        <v>-0.014</v>
      </c>
    </row>
    <row r="86" customFormat="false" ht="15" hidden="false" customHeight="false" outlineLevel="0" collapsed="false">
      <c r="A86" s="19" t="n">
        <v>87.43</v>
      </c>
      <c r="B86" s="20" t="s">
        <v>47</v>
      </c>
      <c r="C86" s="21" t="n">
        <v>0.284</v>
      </c>
      <c r="D86" s="21" t="n">
        <v>0.016</v>
      </c>
      <c r="E86" s="21" t="n">
        <v>0.61</v>
      </c>
      <c r="F86" s="21" t="n">
        <v>0.366</v>
      </c>
      <c r="G86" s="21" t="n">
        <v>0.08</v>
      </c>
      <c r="H86" s="21" t="n">
        <v>-0.016</v>
      </c>
    </row>
    <row r="87" customFormat="false" ht="15" hidden="false" customHeight="false" outlineLevel="0" collapsed="false">
      <c r="A87" s="19" t="n">
        <v>88.48</v>
      </c>
      <c r="B87" s="20" t="s">
        <v>47</v>
      </c>
      <c r="C87" s="21" t="n">
        <v>0.282</v>
      </c>
      <c r="D87" s="21" t="n">
        <v>0.018</v>
      </c>
      <c r="E87" s="21" t="n">
        <v>0.527</v>
      </c>
      <c r="F87" s="21" t="n">
        <v>0.368</v>
      </c>
      <c r="G87" s="21" t="n">
        <v>0.08</v>
      </c>
      <c r="H87" s="21" t="n">
        <v>-0.018</v>
      </c>
    </row>
    <row r="88" customFormat="false" ht="15" hidden="false" customHeight="false" outlineLevel="0" collapsed="false">
      <c r="A88" s="19" t="n">
        <v>89.51</v>
      </c>
      <c r="B88" s="20" t="s">
        <v>47</v>
      </c>
      <c r="C88" s="21" t="n">
        <v>0.281</v>
      </c>
      <c r="D88" s="21" t="n">
        <v>0.019</v>
      </c>
      <c r="E88" s="21" t="n">
        <v>0.458</v>
      </c>
      <c r="F88" s="21" t="n">
        <v>0.364</v>
      </c>
      <c r="G88" s="21" t="n">
        <v>0.04</v>
      </c>
      <c r="H88" s="21" t="n">
        <v>-0.02</v>
      </c>
    </row>
    <row r="89" customFormat="false" ht="15" hidden="false" customHeight="false" outlineLevel="0" collapsed="false">
      <c r="A89" s="19" t="n">
        <v>90.56</v>
      </c>
      <c r="B89" s="20" t="s">
        <v>47</v>
      </c>
      <c r="C89" s="21" t="n">
        <v>0.281</v>
      </c>
      <c r="D89" s="21" t="n">
        <v>0.019</v>
      </c>
      <c r="E89" s="21" t="n">
        <v>0.417</v>
      </c>
      <c r="F89" s="21" t="n">
        <v>0.367</v>
      </c>
      <c r="G89" s="21" t="n">
        <v>0.04</v>
      </c>
      <c r="H89" s="21" t="n">
        <v>-0.019</v>
      </c>
    </row>
    <row r="90" customFormat="false" ht="15" hidden="false" customHeight="false" outlineLevel="0" collapsed="false">
      <c r="A90" s="19" t="n">
        <v>91.58</v>
      </c>
      <c r="B90" s="20" t="s">
        <v>47</v>
      </c>
      <c r="C90" s="21" t="n">
        <v>0.281</v>
      </c>
      <c r="D90" s="21" t="n">
        <v>0.019</v>
      </c>
      <c r="E90" s="21" t="n">
        <v>0.376</v>
      </c>
      <c r="F90" s="21" t="n">
        <v>0.371</v>
      </c>
      <c r="G90" s="21" t="n">
        <v>0.04</v>
      </c>
      <c r="H90" s="21" t="n">
        <v>-0.019</v>
      </c>
    </row>
    <row r="91" customFormat="false" ht="15" hidden="false" customHeight="false" outlineLevel="0" collapsed="false">
      <c r="A91" s="19" t="n">
        <v>92.62</v>
      </c>
      <c r="B91" s="20" t="s">
        <v>51</v>
      </c>
      <c r="C91" s="21" t="n">
        <v>0.281</v>
      </c>
      <c r="D91" s="21" t="n">
        <v>0.019</v>
      </c>
      <c r="E91" s="21" t="n">
        <v>0.341</v>
      </c>
      <c r="F91" s="21" t="n">
        <v>0.378</v>
      </c>
      <c r="G91" s="21" t="n">
        <v>0</v>
      </c>
      <c r="H91" s="21" t="n">
        <v>-0.4</v>
      </c>
    </row>
    <row r="92" customFormat="false" ht="15" hidden="false" customHeight="false" outlineLevel="0" collapsed="false">
      <c r="A92" s="19" t="n">
        <v>93.65</v>
      </c>
      <c r="B92" s="20" t="s">
        <v>51</v>
      </c>
      <c r="C92" s="21" t="n">
        <v>0.306</v>
      </c>
      <c r="D92" s="21" t="n">
        <v>-0.006</v>
      </c>
      <c r="E92" s="21" t="n">
        <v>0.354</v>
      </c>
      <c r="F92" s="21" t="n">
        <v>0.338</v>
      </c>
      <c r="G92" s="21" t="n">
        <v>0</v>
      </c>
      <c r="H92" s="21" t="n">
        <v>-0.4</v>
      </c>
    </row>
    <row r="93" customFormat="false" ht="15" hidden="false" customHeight="false" outlineLevel="0" collapsed="false">
      <c r="A93" s="19" t="n">
        <v>94.68</v>
      </c>
      <c r="B93" s="20" t="s">
        <v>51</v>
      </c>
      <c r="C93" s="21" t="n">
        <v>0.37</v>
      </c>
      <c r="D93" s="21" t="n">
        <v>-0.07</v>
      </c>
      <c r="E93" s="21" t="n">
        <v>0.426</v>
      </c>
      <c r="F93" s="21" t="n">
        <v>0.329</v>
      </c>
      <c r="G93" s="21" t="n">
        <v>0</v>
      </c>
      <c r="H93" s="21" t="n">
        <v>-0.4</v>
      </c>
    </row>
    <row r="94" customFormat="false" ht="15" hidden="false" customHeight="false" outlineLevel="0" collapsed="false">
      <c r="A94" s="19" t="n">
        <v>95.72</v>
      </c>
      <c r="B94" s="20" t="s">
        <v>51</v>
      </c>
      <c r="C94" s="21" t="n">
        <v>0.331</v>
      </c>
      <c r="D94" s="21" t="n">
        <v>-0.031</v>
      </c>
      <c r="E94" s="21" t="n">
        <v>1.062</v>
      </c>
      <c r="F94" s="21" t="n">
        <v>0.341</v>
      </c>
      <c r="G94" s="21" t="n">
        <v>0</v>
      </c>
      <c r="H94" s="21" t="n">
        <v>-0.4</v>
      </c>
    </row>
    <row r="95" customFormat="false" ht="15" hidden="false" customHeight="false" outlineLevel="0" collapsed="false">
      <c r="A95" s="19" t="n">
        <v>96.75</v>
      </c>
      <c r="B95" s="20" t="s">
        <v>51</v>
      </c>
      <c r="C95" s="21" t="n">
        <v>0.311</v>
      </c>
      <c r="D95" s="21" t="n">
        <v>-0.011</v>
      </c>
      <c r="E95" s="21" t="n">
        <v>1.714</v>
      </c>
      <c r="F95" s="21" t="n">
        <v>0.395</v>
      </c>
      <c r="G95" s="21" t="n">
        <v>0</v>
      </c>
      <c r="H95" s="21" t="n">
        <v>-0.12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0" min="10" style="0" width="80"/>
  </cols>
  <sheetData>
    <row r="1" customFormat="false" ht="26.85" hidden="false" customHeight="false" outlineLevel="0" collapsed="false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J1" s="18" t="s">
        <v>46</v>
      </c>
    </row>
    <row r="2" customFormat="false" ht="15" hidden="false" customHeight="false" outlineLevel="0" collapsed="false">
      <c r="A2" s="19" t="n">
        <v>0</v>
      </c>
      <c r="B2" s="20" t="s">
        <v>47</v>
      </c>
      <c r="C2" s="21" t="n">
        <v>0.338</v>
      </c>
      <c r="D2" s="21" t="n">
        <v>-0.038</v>
      </c>
      <c r="E2" s="21" t="n">
        <v>1.786</v>
      </c>
      <c r="F2" s="21"/>
      <c r="G2" s="21" t="n">
        <v>0.049</v>
      </c>
      <c r="H2" s="21" t="n">
        <v>0.046</v>
      </c>
      <c r="J2" s="2" t="s">
        <v>52</v>
      </c>
    </row>
    <row r="3" customFormat="false" ht="15" hidden="false" customHeight="false" outlineLevel="0" collapsed="false">
      <c r="A3" s="19" t="n">
        <v>1.03</v>
      </c>
      <c r="B3" s="20" t="s">
        <v>47</v>
      </c>
      <c r="C3" s="21" t="n">
        <v>0.334</v>
      </c>
      <c r="D3" s="21" t="n">
        <v>-0.034</v>
      </c>
      <c r="E3" s="21" t="n">
        <v>1.749</v>
      </c>
      <c r="F3" s="21"/>
      <c r="G3" s="21" t="n">
        <v>0.052</v>
      </c>
      <c r="H3" s="21" t="n">
        <v>0.04</v>
      </c>
      <c r="J3" s="2" t="s">
        <v>49</v>
      </c>
    </row>
    <row r="4" customFormat="false" ht="15" hidden="false" customHeight="false" outlineLevel="0" collapsed="false">
      <c r="A4" s="19" t="n">
        <v>2.06</v>
      </c>
      <c r="B4" s="20" t="s">
        <v>47</v>
      </c>
      <c r="C4" s="21" t="n">
        <v>0.33</v>
      </c>
      <c r="D4" s="21" t="n">
        <v>-0.03</v>
      </c>
      <c r="E4" s="21" t="n">
        <v>1.701</v>
      </c>
      <c r="F4" s="21"/>
      <c r="G4" s="21" t="n">
        <v>0.056</v>
      </c>
      <c r="H4" s="21" t="n">
        <v>0.032</v>
      </c>
      <c r="J4" s="2" t="s">
        <v>50</v>
      </c>
    </row>
    <row r="5" customFormat="false" ht="15" hidden="false" customHeight="false" outlineLevel="0" collapsed="false">
      <c r="A5" s="19" t="n">
        <v>3.16</v>
      </c>
      <c r="B5" s="20" t="s">
        <v>47</v>
      </c>
      <c r="C5" s="21" t="n">
        <v>0.321</v>
      </c>
      <c r="D5" s="21" t="n">
        <v>-0.021</v>
      </c>
      <c r="E5" s="21" t="n">
        <v>1.65</v>
      </c>
      <c r="F5" s="21"/>
      <c r="G5" s="21" t="n">
        <v>0.063</v>
      </c>
      <c r="H5" s="21" t="n">
        <v>0.021</v>
      </c>
      <c r="J5" s="2" t="s">
        <v>53</v>
      </c>
    </row>
    <row r="6" customFormat="false" ht="15" hidden="false" customHeight="false" outlineLevel="0" collapsed="false">
      <c r="A6" s="19" t="n">
        <v>4.22</v>
      </c>
      <c r="B6" s="20" t="s">
        <v>47</v>
      </c>
      <c r="C6" s="21" t="n">
        <v>0.306</v>
      </c>
      <c r="D6" s="21" t="n">
        <v>-0.006</v>
      </c>
      <c r="E6" s="21" t="n">
        <v>1.169</v>
      </c>
      <c r="F6" s="21"/>
      <c r="G6" s="21" t="n">
        <v>0.075</v>
      </c>
      <c r="H6" s="21" t="n">
        <v>-0.006</v>
      </c>
    </row>
    <row r="7" customFormat="false" ht="15" hidden="false" customHeight="false" outlineLevel="0" collapsed="false">
      <c r="A7" s="19" t="n">
        <v>5.25</v>
      </c>
      <c r="B7" s="20" t="s">
        <v>47</v>
      </c>
      <c r="C7" s="21" t="n">
        <v>0.298</v>
      </c>
      <c r="D7" s="21" t="n">
        <v>0.002</v>
      </c>
      <c r="E7" s="21" t="n">
        <v>1.546</v>
      </c>
      <c r="F7" s="21"/>
      <c r="G7" s="21" t="n">
        <v>0.078</v>
      </c>
      <c r="H7" s="21" t="n">
        <v>0</v>
      </c>
    </row>
    <row r="8" customFormat="false" ht="15" hidden="false" customHeight="false" outlineLevel="0" collapsed="false">
      <c r="A8" s="19" t="n">
        <v>6.28</v>
      </c>
      <c r="B8" s="20" t="s">
        <v>47</v>
      </c>
      <c r="C8" s="21" t="n">
        <v>0.287</v>
      </c>
      <c r="D8" s="21" t="n">
        <v>0.013</v>
      </c>
      <c r="E8" s="21" t="n">
        <v>1.48</v>
      </c>
      <c r="F8" s="21"/>
      <c r="G8" s="21" t="n">
        <v>0.07</v>
      </c>
      <c r="H8" s="21" t="n">
        <v>-0.019</v>
      </c>
    </row>
    <row r="9" customFormat="false" ht="15" hidden="false" customHeight="false" outlineLevel="0" collapsed="false">
      <c r="A9" s="19" t="n">
        <v>7.32</v>
      </c>
      <c r="B9" s="20" t="s">
        <v>47</v>
      </c>
      <c r="C9" s="21" t="n">
        <v>0.284</v>
      </c>
      <c r="D9" s="21" t="n">
        <v>0.016</v>
      </c>
      <c r="E9" s="21" t="n">
        <v>1.414</v>
      </c>
      <c r="F9" s="21"/>
      <c r="G9" s="21" t="n">
        <v>0.067</v>
      </c>
      <c r="H9" s="21" t="n">
        <v>-0.019</v>
      </c>
    </row>
    <row r="10" customFormat="false" ht="15" hidden="false" customHeight="false" outlineLevel="0" collapsed="false">
      <c r="A10" s="19" t="n">
        <v>8.35</v>
      </c>
      <c r="B10" s="20" t="s">
        <v>47</v>
      </c>
      <c r="C10" s="21" t="n">
        <v>0.277</v>
      </c>
      <c r="D10" s="21" t="n">
        <v>0.023</v>
      </c>
      <c r="E10" s="21" t="n">
        <v>1.357</v>
      </c>
      <c r="F10" s="21"/>
      <c r="G10" s="21" t="n">
        <v>0.061</v>
      </c>
      <c r="H10" s="21" t="n">
        <v>-0.031</v>
      </c>
    </row>
    <row r="11" customFormat="false" ht="15" hidden="false" customHeight="false" outlineLevel="0" collapsed="false">
      <c r="A11" s="19" t="n">
        <v>9.38</v>
      </c>
      <c r="B11" s="20" t="s">
        <v>47</v>
      </c>
      <c r="C11" s="21" t="n">
        <v>0.276</v>
      </c>
      <c r="D11" s="21" t="n">
        <v>0.024</v>
      </c>
      <c r="E11" s="21" t="n">
        <v>1.296</v>
      </c>
      <c r="F11" s="21"/>
      <c r="G11" s="21" t="n">
        <v>0.06</v>
      </c>
      <c r="H11" s="21" t="n">
        <v>-0.029</v>
      </c>
    </row>
    <row r="12" customFormat="false" ht="15" hidden="false" customHeight="false" outlineLevel="0" collapsed="false">
      <c r="A12" s="19" t="n">
        <v>10.41</v>
      </c>
      <c r="B12" s="20" t="s">
        <v>47</v>
      </c>
      <c r="C12" s="21" t="n">
        <v>0.274</v>
      </c>
      <c r="D12" s="21" t="n">
        <v>0.026</v>
      </c>
      <c r="E12" s="21" t="n">
        <v>1.237</v>
      </c>
      <c r="F12" s="21"/>
      <c r="G12" s="21" t="n">
        <v>0.059</v>
      </c>
      <c r="H12" s="21" t="n">
        <v>-0.032</v>
      </c>
    </row>
    <row r="13" customFormat="false" ht="15" hidden="false" customHeight="false" outlineLevel="0" collapsed="false">
      <c r="A13" s="19" t="n">
        <v>11.45</v>
      </c>
      <c r="B13" s="20" t="s">
        <v>47</v>
      </c>
      <c r="C13" s="21" t="n">
        <v>0.277</v>
      </c>
      <c r="D13" s="21" t="n">
        <v>0.023</v>
      </c>
      <c r="E13" s="21" t="n">
        <v>1.178</v>
      </c>
      <c r="F13" s="21"/>
      <c r="G13" s="21" t="n">
        <v>0.062</v>
      </c>
      <c r="H13" s="21" t="n">
        <v>-0.027</v>
      </c>
    </row>
    <row r="14" customFormat="false" ht="15" hidden="false" customHeight="false" outlineLevel="0" collapsed="false">
      <c r="A14" s="19" t="n">
        <v>12.48</v>
      </c>
      <c r="B14" s="20" t="s">
        <v>47</v>
      </c>
      <c r="C14" s="21" t="n">
        <v>0.281</v>
      </c>
      <c r="D14" s="21" t="n">
        <v>0.019</v>
      </c>
      <c r="E14" s="21" t="n">
        <v>1.117</v>
      </c>
      <c r="F14" s="21"/>
      <c r="G14" s="21" t="n">
        <v>0.065</v>
      </c>
      <c r="H14" s="21" t="n">
        <v>-0.023</v>
      </c>
    </row>
    <row r="15" customFormat="false" ht="15" hidden="false" customHeight="false" outlineLevel="0" collapsed="false">
      <c r="A15" s="19" t="n">
        <v>13.51</v>
      </c>
      <c r="B15" s="20" t="s">
        <v>47</v>
      </c>
      <c r="C15" s="21" t="n">
        <v>0.286</v>
      </c>
      <c r="D15" s="21" t="n">
        <v>0.014</v>
      </c>
      <c r="E15" s="21" t="n">
        <v>1.054</v>
      </c>
      <c r="F15" s="21"/>
      <c r="G15" s="21" t="n">
        <v>0.069</v>
      </c>
      <c r="H15" s="21" t="n">
        <v>-0.017</v>
      </c>
    </row>
    <row r="16" customFormat="false" ht="15" hidden="false" customHeight="false" outlineLevel="0" collapsed="false">
      <c r="A16" s="19" t="n">
        <v>14.54</v>
      </c>
      <c r="B16" s="20" t="s">
        <v>47</v>
      </c>
      <c r="C16" s="21" t="n">
        <v>0.285</v>
      </c>
      <c r="D16" s="21" t="n">
        <v>0.015</v>
      </c>
      <c r="E16" s="21" t="n">
        <v>0.996</v>
      </c>
      <c r="F16" s="21"/>
      <c r="G16" s="21" t="n">
        <v>0.068</v>
      </c>
      <c r="H16" s="21" t="n">
        <v>-0.018</v>
      </c>
    </row>
    <row r="17" customFormat="false" ht="15" hidden="false" customHeight="false" outlineLevel="0" collapsed="false">
      <c r="A17" s="19" t="n">
        <v>15.57</v>
      </c>
      <c r="B17" s="20" t="s">
        <v>47</v>
      </c>
      <c r="C17" s="21" t="n">
        <v>0.29</v>
      </c>
      <c r="D17" s="21" t="n">
        <v>0.01</v>
      </c>
      <c r="E17" s="21" t="n">
        <v>0.93</v>
      </c>
      <c r="F17" s="21"/>
      <c r="G17" s="21" t="n">
        <v>0.072</v>
      </c>
      <c r="H17" s="21" t="n">
        <v>-0.01</v>
      </c>
    </row>
    <row r="18" customFormat="false" ht="15" hidden="false" customHeight="false" outlineLevel="0" collapsed="false">
      <c r="A18" s="19" t="n">
        <v>16.61</v>
      </c>
      <c r="B18" s="20" t="s">
        <v>47</v>
      </c>
      <c r="C18" s="21" t="n">
        <v>0.296</v>
      </c>
      <c r="D18" s="21" t="n">
        <v>0.004</v>
      </c>
      <c r="E18" s="21" t="n">
        <v>0.859</v>
      </c>
      <c r="F18" s="21"/>
      <c r="G18" s="21" t="n">
        <v>0.077</v>
      </c>
      <c r="H18" s="21" t="n">
        <v>0.004</v>
      </c>
    </row>
    <row r="19" customFormat="false" ht="15" hidden="false" customHeight="false" outlineLevel="0" collapsed="false">
      <c r="A19" s="19" t="n">
        <v>17.64</v>
      </c>
      <c r="B19" s="20" t="s">
        <v>47</v>
      </c>
      <c r="C19" s="21" t="n">
        <v>0.293</v>
      </c>
      <c r="D19" s="21" t="n">
        <v>0.007</v>
      </c>
      <c r="E19" s="21" t="n">
        <v>0.79</v>
      </c>
      <c r="F19" s="21"/>
      <c r="G19" s="21" t="n">
        <v>0.065</v>
      </c>
      <c r="H19" s="21" t="n">
        <v>0</v>
      </c>
    </row>
    <row r="20" customFormat="false" ht="15" hidden="false" customHeight="false" outlineLevel="0" collapsed="false">
      <c r="A20" s="19" t="n">
        <v>18.67</v>
      </c>
      <c r="B20" s="20" t="s">
        <v>47</v>
      </c>
      <c r="C20" s="21" t="n">
        <v>0.296</v>
      </c>
      <c r="D20" s="21" t="n">
        <v>0.004</v>
      </c>
      <c r="E20" s="21" t="n">
        <v>0.73</v>
      </c>
      <c r="F20" s="21"/>
      <c r="G20" s="21" t="n">
        <v>0.058</v>
      </c>
      <c r="H20" s="21" t="n">
        <v>0</v>
      </c>
    </row>
    <row r="21" customFormat="false" ht="15" hidden="false" customHeight="false" outlineLevel="0" collapsed="false">
      <c r="A21" s="19" t="n">
        <v>19.71</v>
      </c>
      <c r="B21" s="20" t="s">
        <v>47</v>
      </c>
      <c r="C21" s="21" t="n">
        <v>0.302</v>
      </c>
      <c r="D21" s="21" t="n">
        <v>-0.002</v>
      </c>
      <c r="E21" s="21" t="n">
        <v>0.678</v>
      </c>
      <c r="F21" s="21"/>
      <c r="G21" s="21" t="n">
        <v>0.052</v>
      </c>
      <c r="H21" s="21" t="n">
        <v>0</v>
      </c>
    </row>
    <row r="22" customFormat="false" ht="15" hidden="false" customHeight="false" outlineLevel="0" collapsed="false">
      <c r="A22" s="19" t="n">
        <v>20.74</v>
      </c>
      <c r="B22" s="20" t="s">
        <v>47</v>
      </c>
      <c r="C22" s="21" t="n">
        <v>0.299</v>
      </c>
      <c r="D22" s="21" t="n">
        <v>0.001</v>
      </c>
      <c r="E22" s="21" t="n">
        <v>0.634</v>
      </c>
      <c r="F22" s="21"/>
      <c r="G22" s="21" t="n">
        <v>0.045</v>
      </c>
      <c r="H22" s="21" t="n">
        <v>0</v>
      </c>
    </row>
    <row r="23" customFormat="false" ht="15" hidden="false" customHeight="false" outlineLevel="0" collapsed="false">
      <c r="A23" s="19" t="n">
        <v>21.76</v>
      </c>
      <c r="B23" s="20" t="s">
        <v>47</v>
      </c>
      <c r="C23" s="21" t="n">
        <v>0.303</v>
      </c>
      <c r="D23" s="21" t="n">
        <v>-0.003</v>
      </c>
      <c r="E23" s="21" t="n">
        <v>0.594</v>
      </c>
      <c r="F23" s="21"/>
      <c r="G23" s="21" t="n">
        <v>0.038</v>
      </c>
      <c r="H23" s="21" t="n">
        <v>0</v>
      </c>
    </row>
    <row r="24" customFormat="false" ht="15" hidden="false" customHeight="false" outlineLevel="0" collapsed="false">
      <c r="A24" s="19" t="n">
        <v>22.78</v>
      </c>
      <c r="B24" s="20" t="s">
        <v>47</v>
      </c>
      <c r="C24" s="21" t="n">
        <v>0.303</v>
      </c>
      <c r="D24" s="21" t="n">
        <v>-0.003</v>
      </c>
      <c r="E24" s="21" t="n">
        <v>0.563</v>
      </c>
      <c r="F24" s="21"/>
      <c r="G24" s="21" t="n">
        <v>0.033</v>
      </c>
      <c r="H24" s="21" t="n">
        <v>0</v>
      </c>
    </row>
    <row r="25" customFormat="false" ht="15" hidden="false" customHeight="false" outlineLevel="0" collapsed="false">
      <c r="A25" s="19" t="n">
        <v>23.81</v>
      </c>
      <c r="B25" s="20" t="s">
        <v>47</v>
      </c>
      <c r="C25" s="21" t="n">
        <v>0.302</v>
      </c>
      <c r="D25" s="21" t="n">
        <v>-0.002</v>
      </c>
      <c r="E25" s="21" t="n">
        <v>0.535</v>
      </c>
      <c r="F25" s="21"/>
      <c r="G25" s="21" t="n">
        <v>0.03</v>
      </c>
      <c r="H25" s="21" t="n">
        <v>0</v>
      </c>
    </row>
    <row r="26" customFormat="false" ht="15" hidden="false" customHeight="false" outlineLevel="0" collapsed="false">
      <c r="A26" s="19" t="n">
        <v>24.92</v>
      </c>
      <c r="B26" s="20" t="s">
        <v>47</v>
      </c>
      <c r="C26" s="21" t="n">
        <v>0.304</v>
      </c>
      <c r="D26" s="21" t="n">
        <v>-0.004</v>
      </c>
      <c r="E26" s="21" t="n">
        <v>0.505</v>
      </c>
      <c r="F26" s="21"/>
      <c r="G26" s="21" t="n">
        <v>0.03</v>
      </c>
      <c r="H26" s="21" t="n">
        <v>0</v>
      </c>
    </row>
    <row r="27" customFormat="false" ht="15" hidden="false" customHeight="false" outlineLevel="0" collapsed="false">
      <c r="A27" s="19" t="n">
        <v>26.03</v>
      </c>
      <c r="B27" s="20" t="s">
        <v>47</v>
      </c>
      <c r="C27" s="21" t="n">
        <v>0.307</v>
      </c>
      <c r="D27" s="21" t="n">
        <v>-0.007</v>
      </c>
      <c r="E27" s="21" t="n">
        <v>0.471</v>
      </c>
      <c r="F27" s="21"/>
      <c r="G27" s="21" t="n">
        <v>0.03</v>
      </c>
      <c r="H27" s="21" t="n">
        <v>0</v>
      </c>
    </row>
    <row r="28" customFormat="false" ht="15" hidden="false" customHeight="false" outlineLevel="0" collapsed="false">
      <c r="A28" s="19" t="n">
        <v>27.09</v>
      </c>
      <c r="B28" s="20" t="s">
        <v>47</v>
      </c>
      <c r="C28" s="21" t="n">
        <v>0.306</v>
      </c>
      <c r="D28" s="21" t="n">
        <v>-0.006</v>
      </c>
      <c r="E28" s="21" t="n">
        <v>0.443</v>
      </c>
      <c r="F28" s="21"/>
      <c r="G28" s="21" t="n">
        <v>0.03</v>
      </c>
      <c r="H28" s="21" t="n">
        <v>-0.003</v>
      </c>
    </row>
    <row r="29" customFormat="false" ht="15" hidden="false" customHeight="false" outlineLevel="0" collapsed="false">
      <c r="A29" s="19" t="n">
        <v>28.15</v>
      </c>
      <c r="B29" s="20" t="s">
        <v>47</v>
      </c>
      <c r="C29" s="21" t="n">
        <v>0.304</v>
      </c>
      <c r="D29" s="21" t="n">
        <v>-0.004</v>
      </c>
      <c r="E29" s="21" t="n">
        <v>0.407</v>
      </c>
      <c r="F29" s="21"/>
      <c r="G29" s="21" t="n">
        <v>0.03</v>
      </c>
      <c r="H29" s="21" t="n">
        <v>0</v>
      </c>
    </row>
    <row r="30" customFormat="false" ht="15" hidden="false" customHeight="false" outlineLevel="0" collapsed="false">
      <c r="A30" s="19" t="n">
        <v>29.17</v>
      </c>
      <c r="B30" s="20" t="s">
        <v>47</v>
      </c>
      <c r="C30" s="21" t="n">
        <v>0.307</v>
      </c>
      <c r="D30" s="21" t="n">
        <v>-0.007</v>
      </c>
      <c r="E30" s="21" t="n">
        <v>0.378</v>
      </c>
      <c r="F30" s="21"/>
      <c r="G30" s="21" t="n">
        <v>0.03</v>
      </c>
      <c r="H30" s="21" t="n">
        <v>0</v>
      </c>
    </row>
    <row r="31" customFormat="false" ht="15" hidden="false" customHeight="false" outlineLevel="0" collapsed="false">
      <c r="A31" s="19" t="n">
        <v>30.3</v>
      </c>
      <c r="B31" s="20" t="s">
        <v>51</v>
      </c>
      <c r="C31" s="21" t="n">
        <v>0.287</v>
      </c>
      <c r="D31" s="21" t="n">
        <v>0.013</v>
      </c>
      <c r="E31" s="21" t="n">
        <v>0.346</v>
      </c>
      <c r="F31" s="21"/>
      <c r="G31" s="21" t="n">
        <v>0</v>
      </c>
      <c r="H31" s="21" t="n">
        <v>-0.3</v>
      </c>
    </row>
    <row r="32" customFormat="false" ht="15" hidden="false" customHeight="false" outlineLevel="0" collapsed="false">
      <c r="A32" s="19" t="n">
        <v>31.39</v>
      </c>
      <c r="B32" s="20" t="s">
        <v>51</v>
      </c>
      <c r="C32" s="21" t="n">
        <v>0.295</v>
      </c>
      <c r="D32" s="21" t="n">
        <v>0.005</v>
      </c>
      <c r="E32" s="21" t="n">
        <v>0.345</v>
      </c>
      <c r="F32" s="21"/>
      <c r="G32" s="21" t="n">
        <v>0</v>
      </c>
      <c r="H32" s="21" t="n">
        <v>-0.3</v>
      </c>
    </row>
    <row r="33" customFormat="false" ht="15" hidden="false" customHeight="false" outlineLevel="0" collapsed="false">
      <c r="A33" s="19" t="n">
        <v>32.46</v>
      </c>
      <c r="B33" s="20" t="s">
        <v>51</v>
      </c>
      <c r="C33" s="21" t="n">
        <v>0.346</v>
      </c>
      <c r="D33" s="21" t="n">
        <v>-0.046</v>
      </c>
      <c r="E33" s="21" t="n">
        <v>0.383</v>
      </c>
      <c r="F33" s="21"/>
      <c r="G33" s="21" t="n">
        <v>0</v>
      </c>
      <c r="H33" s="21" t="n">
        <v>-0.3</v>
      </c>
    </row>
    <row r="34" customFormat="false" ht="15" hidden="false" customHeight="false" outlineLevel="0" collapsed="false">
      <c r="A34" s="19" t="n">
        <v>33.49</v>
      </c>
      <c r="B34" s="20" t="s">
        <v>51</v>
      </c>
      <c r="C34" s="21" t="n">
        <v>0.398</v>
      </c>
      <c r="D34" s="21" t="n">
        <v>-0.098</v>
      </c>
      <c r="E34" s="21" t="n">
        <v>0.466</v>
      </c>
      <c r="F34" s="21"/>
      <c r="G34" s="21" t="n">
        <v>0</v>
      </c>
      <c r="H34" s="21" t="n">
        <v>-0.3</v>
      </c>
    </row>
    <row r="35" customFormat="false" ht="15" hidden="false" customHeight="false" outlineLevel="0" collapsed="false">
      <c r="A35" s="19" t="n">
        <v>34.52</v>
      </c>
      <c r="B35" s="20" t="s">
        <v>51</v>
      </c>
      <c r="C35" s="21" t="n">
        <v>0.34</v>
      </c>
      <c r="D35" s="21" t="n">
        <v>-0.04</v>
      </c>
      <c r="E35" s="21" t="n">
        <v>0.654</v>
      </c>
      <c r="F35" s="21"/>
      <c r="G35" s="21" t="n">
        <v>0</v>
      </c>
      <c r="H35" s="21" t="n">
        <v>-0.3</v>
      </c>
    </row>
    <row r="36" customFormat="false" ht="15" hidden="false" customHeight="false" outlineLevel="0" collapsed="false">
      <c r="A36" s="19" t="n">
        <v>35.59</v>
      </c>
      <c r="B36" s="20" t="s">
        <v>51</v>
      </c>
      <c r="C36" s="21" t="n">
        <v>0.315</v>
      </c>
      <c r="D36" s="21" t="n">
        <v>-0.015</v>
      </c>
      <c r="E36" s="21" t="n">
        <v>1.461</v>
      </c>
      <c r="F36" s="21"/>
      <c r="G36" s="21" t="n">
        <v>0</v>
      </c>
      <c r="H36" s="21" t="n">
        <v>-0.157</v>
      </c>
    </row>
    <row r="37" customFormat="false" ht="15" hidden="false" customHeight="false" outlineLevel="0" collapsed="false">
      <c r="A37" s="19" t="n">
        <v>36.68</v>
      </c>
      <c r="B37" s="20" t="s">
        <v>47</v>
      </c>
      <c r="C37" s="21" t="n">
        <v>0.329</v>
      </c>
      <c r="D37" s="21" t="n">
        <v>-0.029</v>
      </c>
      <c r="E37" s="21" t="n">
        <v>1.701</v>
      </c>
      <c r="F37" s="21"/>
      <c r="G37" s="21" t="n">
        <v>0.056</v>
      </c>
      <c r="H37" s="21" t="n">
        <v>0.037</v>
      </c>
    </row>
    <row r="38" customFormat="false" ht="15" hidden="false" customHeight="false" outlineLevel="0" collapsed="false">
      <c r="A38" s="19" t="n">
        <v>37.71</v>
      </c>
      <c r="B38" s="20" t="s">
        <v>47</v>
      </c>
      <c r="C38" s="21" t="n">
        <v>0.324</v>
      </c>
      <c r="D38" s="21" t="n">
        <v>-0.024</v>
      </c>
      <c r="E38" s="21" t="n">
        <v>1.648</v>
      </c>
      <c r="F38" s="21"/>
      <c r="G38" s="21" t="n">
        <v>0.061</v>
      </c>
      <c r="H38" s="21" t="n">
        <v>0.029</v>
      </c>
    </row>
    <row r="39" customFormat="false" ht="15" hidden="false" customHeight="false" outlineLevel="0" collapsed="false">
      <c r="A39" s="19" t="n">
        <v>38.74</v>
      </c>
      <c r="B39" s="20" t="s">
        <v>47</v>
      </c>
      <c r="C39" s="21" t="n">
        <v>0.317</v>
      </c>
      <c r="D39" s="21" t="n">
        <v>-0.017</v>
      </c>
      <c r="E39" s="21" t="n">
        <v>1.585</v>
      </c>
      <c r="F39" s="21"/>
      <c r="G39" s="21" t="n">
        <v>0.066</v>
      </c>
      <c r="H39" s="21" t="n">
        <v>0.019</v>
      </c>
    </row>
    <row r="40" customFormat="false" ht="15" hidden="false" customHeight="false" outlineLevel="0" collapsed="false">
      <c r="A40" s="19" t="n">
        <v>39.78</v>
      </c>
      <c r="B40" s="20" t="s">
        <v>47</v>
      </c>
      <c r="C40" s="21" t="n">
        <v>0.314</v>
      </c>
      <c r="D40" s="21" t="n">
        <v>-0.014</v>
      </c>
      <c r="E40" s="21" t="n">
        <v>1.53</v>
      </c>
      <c r="F40" s="21"/>
      <c r="G40" s="21" t="n">
        <v>0.069</v>
      </c>
      <c r="H40" s="21" t="n">
        <v>0.017</v>
      </c>
    </row>
    <row r="41" customFormat="false" ht="15" hidden="false" customHeight="false" outlineLevel="0" collapsed="false">
      <c r="A41" s="19" t="n">
        <v>40.81</v>
      </c>
      <c r="B41" s="20" t="s">
        <v>47</v>
      </c>
      <c r="C41" s="21" t="n">
        <v>0.305</v>
      </c>
      <c r="D41" s="21" t="n">
        <v>-0.005</v>
      </c>
      <c r="E41" s="21" t="n">
        <v>1.466</v>
      </c>
      <c r="F41" s="21"/>
      <c r="G41" s="21" t="n">
        <v>0.076</v>
      </c>
      <c r="H41" s="21" t="n">
        <v>0</v>
      </c>
    </row>
    <row r="42" customFormat="false" ht="15" hidden="false" customHeight="false" outlineLevel="0" collapsed="false">
      <c r="A42" s="19" t="n">
        <v>41.84</v>
      </c>
      <c r="B42" s="20" t="s">
        <v>47</v>
      </c>
      <c r="C42" s="21" t="n">
        <v>0.303</v>
      </c>
      <c r="D42" s="21" t="n">
        <v>-0.003</v>
      </c>
      <c r="E42" s="21" t="n">
        <v>1.4</v>
      </c>
      <c r="F42" s="21"/>
      <c r="G42" s="21" t="n">
        <v>0.078</v>
      </c>
      <c r="H42" s="21" t="n">
        <v>0</v>
      </c>
    </row>
    <row r="43" customFormat="false" ht="15" hidden="false" customHeight="false" outlineLevel="0" collapsed="false">
      <c r="A43" s="19" t="n">
        <v>42.88</v>
      </c>
      <c r="B43" s="20" t="s">
        <v>47</v>
      </c>
      <c r="C43" s="21" t="n">
        <v>0.297</v>
      </c>
      <c r="D43" s="21" t="n">
        <v>0.003</v>
      </c>
      <c r="E43" s="21" t="n">
        <v>1.332</v>
      </c>
      <c r="F43" s="21"/>
      <c r="G43" s="21" t="n">
        <v>0.077</v>
      </c>
      <c r="H43" s="21" t="n">
        <v>0</v>
      </c>
    </row>
    <row r="44" customFormat="false" ht="15" hidden="false" customHeight="false" outlineLevel="0" collapsed="false">
      <c r="A44" s="19" t="n">
        <v>43.92</v>
      </c>
      <c r="B44" s="20" t="s">
        <v>47</v>
      </c>
      <c r="C44" s="21" t="n">
        <v>0.293</v>
      </c>
      <c r="D44" s="21" t="n">
        <v>0.007</v>
      </c>
      <c r="E44" s="21" t="n">
        <v>1.265</v>
      </c>
      <c r="F44" s="21"/>
      <c r="G44" s="21" t="n">
        <v>0.075</v>
      </c>
      <c r="H44" s="21" t="n">
        <v>0.005</v>
      </c>
    </row>
    <row r="45" customFormat="false" ht="15" hidden="false" customHeight="false" outlineLevel="0" collapsed="false">
      <c r="A45" s="19" t="n">
        <v>44.94</v>
      </c>
      <c r="B45" s="20" t="s">
        <v>47</v>
      </c>
      <c r="C45" s="21" t="n">
        <v>0.291</v>
      </c>
      <c r="D45" s="21" t="n">
        <v>0.009</v>
      </c>
      <c r="E45" s="21" t="n">
        <v>1.197</v>
      </c>
      <c r="F45" s="21"/>
      <c r="G45" s="21" t="n">
        <v>0.073</v>
      </c>
      <c r="H45" s="21" t="n">
        <v>-0.012</v>
      </c>
    </row>
    <row r="46" customFormat="false" ht="15" hidden="false" customHeight="false" outlineLevel="0" collapsed="false">
      <c r="A46" s="19" t="n">
        <v>45.98</v>
      </c>
      <c r="B46" s="20" t="s">
        <v>47</v>
      </c>
      <c r="C46" s="21" t="n">
        <v>0.289</v>
      </c>
      <c r="D46" s="21" t="n">
        <v>0.011</v>
      </c>
      <c r="E46" s="21" t="n">
        <v>1.128</v>
      </c>
      <c r="F46" s="21"/>
      <c r="G46" s="21" t="n">
        <v>0.072</v>
      </c>
      <c r="H46" s="21" t="n">
        <v>-0.012</v>
      </c>
    </row>
    <row r="47" customFormat="false" ht="15" hidden="false" customHeight="false" outlineLevel="0" collapsed="false">
      <c r="A47" s="19" t="n">
        <v>47.01</v>
      </c>
      <c r="B47" s="20" t="s">
        <v>47</v>
      </c>
      <c r="C47" s="21" t="n">
        <v>0.285</v>
      </c>
      <c r="D47" s="21" t="n">
        <v>0.015</v>
      </c>
      <c r="E47" s="21" t="n">
        <v>1.061</v>
      </c>
      <c r="F47" s="21"/>
      <c r="G47" s="21" t="n">
        <v>0.068</v>
      </c>
      <c r="H47" s="21" t="n">
        <v>-0.019</v>
      </c>
    </row>
    <row r="48" customFormat="false" ht="15" hidden="false" customHeight="false" outlineLevel="0" collapsed="false">
      <c r="A48" s="19" t="n">
        <v>48.05</v>
      </c>
      <c r="B48" s="20" t="s">
        <v>47</v>
      </c>
      <c r="C48" s="21" t="n">
        <v>0.286</v>
      </c>
      <c r="D48" s="21" t="n">
        <v>0.014</v>
      </c>
      <c r="E48" s="21" t="n">
        <v>0.987</v>
      </c>
      <c r="F48" s="21"/>
      <c r="G48" s="21" t="n">
        <v>0.069</v>
      </c>
      <c r="H48" s="21" t="n">
        <v>-0.019</v>
      </c>
    </row>
    <row r="49" customFormat="false" ht="15" hidden="false" customHeight="false" outlineLevel="0" collapsed="false">
      <c r="A49" s="19" t="n">
        <v>49.09</v>
      </c>
      <c r="B49" s="20" t="s">
        <v>47</v>
      </c>
      <c r="C49" s="21" t="n">
        <v>0.288</v>
      </c>
      <c r="D49" s="21" t="n">
        <v>0.012</v>
      </c>
      <c r="E49" s="21" t="n">
        <v>0.92</v>
      </c>
      <c r="F49" s="21"/>
      <c r="G49" s="21" t="n">
        <v>0.07</v>
      </c>
      <c r="H49" s="21" t="n">
        <v>-0.015</v>
      </c>
    </row>
    <row r="50" customFormat="false" ht="15" hidden="false" customHeight="false" outlineLevel="0" collapsed="false">
      <c r="A50" s="19" t="n">
        <v>50.13</v>
      </c>
      <c r="B50" s="20" t="s">
        <v>47</v>
      </c>
      <c r="C50" s="21" t="n">
        <v>0.287</v>
      </c>
      <c r="D50" s="21" t="n">
        <v>0.013</v>
      </c>
      <c r="E50" s="21" t="n">
        <v>0.859</v>
      </c>
      <c r="F50" s="21"/>
      <c r="G50" s="21" t="n">
        <v>0.07</v>
      </c>
      <c r="H50" s="21" t="n">
        <v>-0.015</v>
      </c>
    </row>
    <row r="51" customFormat="false" ht="15" hidden="false" customHeight="false" outlineLevel="0" collapsed="false">
      <c r="A51" s="19" t="n">
        <v>51.16</v>
      </c>
      <c r="B51" s="20" t="s">
        <v>47</v>
      </c>
      <c r="C51" s="21" t="n">
        <v>0.289</v>
      </c>
      <c r="D51" s="21" t="n">
        <v>0.011</v>
      </c>
      <c r="E51" s="21" t="n">
        <v>0.795</v>
      </c>
      <c r="F51" s="21"/>
      <c r="G51" s="21" t="n">
        <v>0.063</v>
      </c>
      <c r="H51" s="21" t="n">
        <v>-0.013</v>
      </c>
    </row>
    <row r="52" customFormat="false" ht="15" hidden="false" customHeight="false" outlineLevel="0" collapsed="false">
      <c r="A52" s="19" t="n">
        <v>52.2</v>
      </c>
      <c r="B52" s="20" t="s">
        <v>47</v>
      </c>
      <c r="C52" s="21" t="n">
        <v>0.291</v>
      </c>
      <c r="D52" s="21" t="n">
        <v>0.009</v>
      </c>
      <c r="E52" s="21" t="n">
        <v>0.736</v>
      </c>
      <c r="F52" s="21"/>
      <c r="G52" s="21" t="n">
        <v>0.056</v>
      </c>
      <c r="H52" s="21" t="n">
        <v>-0.018</v>
      </c>
    </row>
    <row r="53" customFormat="false" ht="15" hidden="false" customHeight="false" outlineLevel="0" collapsed="false">
      <c r="A53" s="19" t="n">
        <v>53.24</v>
      </c>
      <c r="B53" s="20" t="s">
        <v>47</v>
      </c>
      <c r="C53" s="21" t="n">
        <v>0.294</v>
      </c>
      <c r="D53" s="21" t="n">
        <v>0.006</v>
      </c>
      <c r="E53" s="21" t="n">
        <v>0.686</v>
      </c>
      <c r="F53" s="21"/>
      <c r="G53" s="21" t="n">
        <v>0.05</v>
      </c>
      <c r="H53" s="21" t="n">
        <v>0</v>
      </c>
    </row>
    <row r="54" customFormat="false" ht="15" hidden="false" customHeight="false" outlineLevel="0" collapsed="false">
      <c r="A54" s="19" t="n">
        <v>54.27</v>
      </c>
      <c r="B54" s="20" t="s">
        <v>47</v>
      </c>
      <c r="C54" s="21" t="n">
        <v>0.294</v>
      </c>
      <c r="D54" s="21" t="n">
        <v>0.006</v>
      </c>
      <c r="E54" s="21" t="n">
        <v>0.645</v>
      </c>
      <c r="F54" s="21"/>
      <c r="G54" s="21" t="n">
        <v>0.044</v>
      </c>
      <c r="H54" s="21" t="n">
        <v>0.002</v>
      </c>
    </row>
    <row r="55" customFormat="false" ht="15" hidden="false" customHeight="false" outlineLevel="0" collapsed="false">
      <c r="A55" s="19" t="n">
        <v>55.31</v>
      </c>
      <c r="B55" s="20" t="s">
        <v>47</v>
      </c>
      <c r="C55" s="21" t="n">
        <v>0.297</v>
      </c>
      <c r="D55" s="21" t="n">
        <v>0.003</v>
      </c>
      <c r="E55" s="21" t="n">
        <v>0.605</v>
      </c>
      <c r="F55" s="21"/>
      <c r="G55" s="21" t="n">
        <v>0.039</v>
      </c>
      <c r="H55" s="21" t="n">
        <v>0</v>
      </c>
    </row>
    <row r="56" customFormat="false" ht="15" hidden="false" customHeight="false" outlineLevel="0" collapsed="false">
      <c r="A56" s="19" t="n">
        <v>56.34</v>
      </c>
      <c r="B56" s="20" t="s">
        <v>47</v>
      </c>
      <c r="C56" s="21" t="n">
        <v>0.296</v>
      </c>
      <c r="D56" s="21" t="n">
        <v>0.004</v>
      </c>
      <c r="E56" s="21" t="n">
        <v>0.574</v>
      </c>
      <c r="F56" s="21"/>
      <c r="G56" s="21" t="n">
        <v>0.035</v>
      </c>
      <c r="H56" s="21" t="n">
        <v>0</v>
      </c>
    </row>
    <row r="57" customFormat="false" ht="15" hidden="false" customHeight="false" outlineLevel="0" collapsed="false">
      <c r="A57" s="19" t="n">
        <v>57.37</v>
      </c>
      <c r="B57" s="20" t="s">
        <v>47</v>
      </c>
      <c r="C57" s="21" t="n">
        <v>0.295</v>
      </c>
      <c r="D57" s="21" t="n">
        <v>0.005</v>
      </c>
      <c r="E57" s="21" t="n">
        <v>0.544</v>
      </c>
      <c r="F57" s="21"/>
      <c r="G57" s="21" t="n">
        <v>0.03</v>
      </c>
      <c r="H57" s="21" t="n">
        <v>0</v>
      </c>
    </row>
    <row r="58" customFormat="false" ht="15" hidden="false" customHeight="false" outlineLevel="0" collapsed="false">
      <c r="A58" s="19" t="n">
        <v>58.44</v>
      </c>
      <c r="B58" s="20" t="s">
        <v>47</v>
      </c>
      <c r="C58" s="21" t="n">
        <v>0.3</v>
      </c>
      <c r="D58" s="21" t="n">
        <v>0</v>
      </c>
      <c r="E58" s="21" t="n">
        <v>0.516</v>
      </c>
      <c r="F58" s="21"/>
      <c r="G58" s="21" t="n">
        <v>0.03</v>
      </c>
      <c r="H58" s="21" t="n">
        <v>0</v>
      </c>
    </row>
    <row r="59" customFormat="false" ht="15" hidden="false" customHeight="false" outlineLevel="0" collapsed="false">
      <c r="A59" s="19" t="n">
        <v>59.45</v>
      </c>
      <c r="B59" s="20" t="s">
        <v>47</v>
      </c>
      <c r="C59" s="21" t="n">
        <v>0.3</v>
      </c>
      <c r="D59" s="21" t="n">
        <v>0</v>
      </c>
      <c r="E59" s="21" t="n">
        <v>0.486</v>
      </c>
      <c r="F59" s="21"/>
      <c r="G59" s="21" t="n">
        <v>0.03</v>
      </c>
      <c r="H59" s="21" t="n">
        <v>0</v>
      </c>
    </row>
    <row r="60" customFormat="false" ht="15" hidden="false" customHeight="false" outlineLevel="0" collapsed="false">
      <c r="A60" s="19" t="n">
        <v>60.47</v>
      </c>
      <c r="B60" s="20" t="s">
        <v>47</v>
      </c>
      <c r="C60" s="21" t="n">
        <v>0.301</v>
      </c>
      <c r="D60" s="21" t="n">
        <v>-0.001</v>
      </c>
      <c r="E60" s="21" t="n">
        <v>0.455</v>
      </c>
      <c r="F60" s="21"/>
      <c r="G60" s="21" t="n">
        <v>0.03</v>
      </c>
      <c r="H60" s="21" t="n">
        <v>0</v>
      </c>
    </row>
    <row r="61" customFormat="false" ht="15" hidden="false" customHeight="false" outlineLevel="0" collapsed="false">
      <c r="A61" s="19" t="n">
        <v>61.5</v>
      </c>
      <c r="B61" s="20" t="s">
        <v>47</v>
      </c>
      <c r="C61" s="21" t="n">
        <v>0.3</v>
      </c>
      <c r="D61" s="21" t="n">
        <v>0</v>
      </c>
      <c r="E61" s="21" t="n">
        <v>0.425</v>
      </c>
      <c r="F61" s="21"/>
      <c r="G61" s="21" t="n">
        <v>0.03</v>
      </c>
      <c r="H61" s="21" t="n">
        <v>0</v>
      </c>
    </row>
    <row r="62" customFormat="false" ht="15" hidden="false" customHeight="false" outlineLevel="0" collapsed="false">
      <c r="A62" s="19" t="n">
        <v>62.54</v>
      </c>
      <c r="B62" s="20" t="s">
        <v>47</v>
      </c>
      <c r="C62" s="21" t="n">
        <v>0.297</v>
      </c>
      <c r="D62" s="21" t="n">
        <v>0.003</v>
      </c>
      <c r="E62" s="21" t="n">
        <v>0.395</v>
      </c>
      <c r="F62" s="21"/>
      <c r="G62" s="21" t="n">
        <v>0.03</v>
      </c>
      <c r="H62" s="21" t="n">
        <v>0</v>
      </c>
    </row>
    <row r="63" customFormat="false" ht="15" hidden="false" customHeight="false" outlineLevel="0" collapsed="false">
      <c r="A63" s="19" t="n">
        <v>63.56</v>
      </c>
      <c r="B63" s="20" t="s">
        <v>47</v>
      </c>
      <c r="C63" s="21" t="n">
        <v>0.301</v>
      </c>
      <c r="D63" s="21" t="n">
        <v>-0.001</v>
      </c>
      <c r="E63" s="21" t="n">
        <v>0.365</v>
      </c>
      <c r="F63" s="21"/>
      <c r="G63" s="21" t="n">
        <v>0.03</v>
      </c>
      <c r="H63" s="21" t="n">
        <v>0</v>
      </c>
    </row>
    <row r="64" customFormat="false" ht="15" hidden="false" customHeight="false" outlineLevel="0" collapsed="false">
      <c r="A64" s="19" t="n">
        <v>64.59</v>
      </c>
      <c r="B64" s="20" t="s">
        <v>51</v>
      </c>
      <c r="C64" s="21" t="n">
        <v>0.28</v>
      </c>
      <c r="D64" s="21" t="n">
        <v>0.02</v>
      </c>
      <c r="E64" s="21" t="n">
        <v>0.345</v>
      </c>
      <c r="F64" s="21"/>
      <c r="G64" s="21" t="n">
        <v>0</v>
      </c>
      <c r="H64" s="21" t="n">
        <v>-0.3</v>
      </c>
    </row>
    <row r="65" customFormat="false" ht="15" hidden="false" customHeight="false" outlineLevel="0" collapsed="false">
      <c r="A65" s="19" t="n">
        <v>65.63</v>
      </c>
      <c r="B65" s="20" t="s">
        <v>51</v>
      </c>
      <c r="C65" s="21" t="n">
        <v>0.296</v>
      </c>
      <c r="D65" s="21" t="n">
        <v>0.004</v>
      </c>
      <c r="E65" s="21" t="n">
        <v>0.356</v>
      </c>
      <c r="F65" s="21"/>
      <c r="G65" s="21" t="n">
        <v>0</v>
      </c>
      <c r="H65" s="21" t="n">
        <v>-0.3</v>
      </c>
    </row>
    <row r="66" customFormat="false" ht="15" hidden="false" customHeight="false" outlineLevel="0" collapsed="false">
      <c r="A66" s="19" t="n">
        <v>66.66</v>
      </c>
      <c r="B66" s="20" t="s">
        <v>51</v>
      </c>
      <c r="C66" s="21" t="n">
        <v>0.358</v>
      </c>
      <c r="D66" s="21" t="n">
        <v>-0.058</v>
      </c>
      <c r="E66" s="21" t="n">
        <v>0.395</v>
      </c>
      <c r="F66" s="21"/>
      <c r="G66" s="21" t="n">
        <v>0</v>
      </c>
      <c r="H66" s="21" t="n">
        <v>-0.3</v>
      </c>
    </row>
    <row r="67" customFormat="false" ht="15" hidden="false" customHeight="false" outlineLevel="0" collapsed="false">
      <c r="A67" s="19" t="n">
        <v>67.69</v>
      </c>
      <c r="B67" s="20" t="s">
        <v>51</v>
      </c>
      <c r="C67" s="21" t="n">
        <v>0.383</v>
      </c>
      <c r="D67" s="21" t="n">
        <v>-0.083</v>
      </c>
      <c r="E67" s="21" t="n">
        <v>0.512</v>
      </c>
      <c r="F67" s="21"/>
      <c r="G67" s="21" t="n">
        <v>0</v>
      </c>
      <c r="H67" s="21" t="n">
        <v>-0.3</v>
      </c>
    </row>
    <row r="68" customFormat="false" ht="15" hidden="false" customHeight="false" outlineLevel="0" collapsed="false">
      <c r="A68" s="19" t="n">
        <v>68.72</v>
      </c>
      <c r="B68" s="20" t="s">
        <v>51</v>
      </c>
      <c r="C68" s="21" t="n">
        <v>0.331</v>
      </c>
      <c r="D68" s="21" t="n">
        <v>-0.031</v>
      </c>
      <c r="E68" s="21" t="n">
        <v>0.832</v>
      </c>
      <c r="F68" s="21"/>
      <c r="G68" s="21" t="n">
        <v>0</v>
      </c>
      <c r="H68" s="21" t="n">
        <v>-0.3</v>
      </c>
    </row>
    <row r="69" customFormat="false" ht="15" hidden="false" customHeight="false" outlineLevel="0" collapsed="false">
      <c r="A69" s="19" t="n">
        <v>69.75</v>
      </c>
      <c r="B69" s="20" t="s">
        <v>51</v>
      </c>
      <c r="C69" s="21" t="n">
        <v>0.317</v>
      </c>
      <c r="D69" s="21" t="n">
        <v>-0.017</v>
      </c>
      <c r="E69" s="21" t="n">
        <v>1.718</v>
      </c>
      <c r="F69" s="21"/>
      <c r="G69" s="21" t="n">
        <v>0</v>
      </c>
      <c r="H69" s="21" t="n">
        <v>-0.105</v>
      </c>
    </row>
    <row r="70" customFormat="false" ht="15" hidden="false" customHeight="false" outlineLevel="0" collapsed="false">
      <c r="A70" s="19" t="n">
        <v>70.78</v>
      </c>
      <c r="B70" s="20" t="s">
        <v>47</v>
      </c>
      <c r="C70" s="21" t="n">
        <v>0.33</v>
      </c>
      <c r="D70" s="21" t="n">
        <v>-0.03</v>
      </c>
      <c r="E70" s="21" t="n">
        <v>1.699</v>
      </c>
      <c r="F70" s="21"/>
      <c r="G70" s="21" t="n">
        <v>0.056</v>
      </c>
      <c r="H70" s="21" t="n">
        <v>0.034</v>
      </c>
    </row>
    <row r="71" customFormat="false" ht="15" hidden="false" customHeight="false" outlineLevel="0" collapsed="false">
      <c r="A71" s="19" t="n">
        <v>71.81</v>
      </c>
      <c r="B71" s="20" t="s">
        <v>47</v>
      </c>
      <c r="C71" s="21" t="n">
        <v>0.325</v>
      </c>
      <c r="D71" s="21" t="n">
        <v>-0.025</v>
      </c>
      <c r="E71" s="21" t="n">
        <v>1.645</v>
      </c>
      <c r="F71" s="21"/>
      <c r="G71" s="21" t="n">
        <v>0.06</v>
      </c>
      <c r="H71" s="21" t="n">
        <v>0.03</v>
      </c>
    </row>
    <row r="72" customFormat="false" ht="15" hidden="false" customHeight="false" outlineLevel="0" collapsed="false">
      <c r="A72" s="19" t="n">
        <v>72.84</v>
      </c>
      <c r="B72" s="20" t="s">
        <v>47</v>
      </c>
      <c r="C72" s="21" t="n">
        <v>0.315</v>
      </c>
      <c r="D72" s="21" t="n">
        <v>-0.015</v>
      </c>
      <c r="E72" s="21" t="n">
        <v>1.591</v>
      </c>
      <c r="F72" s="21"/>
      <c r="G72" s="21" t="n">
        <v>0.068</v>
      </c>
      <c r="H72" s="21" t="n">
        <v>0.016</v>
      </c>
    </row>
    <row r="73" customFormat="false" ht="15" hidden="false" customHeight="false" outlineLevel="0" collapsed="false">
      <c r="A73" s="19" t="n">
        <v>73.87</v>
      </c>
      <c r="B73" s="20" t="s">
        <v>47</v>
      </c>
      <c r="C73" s="21" t="n">
        <v>0.314</v>
      </c>
      <c r="D73" s="21" t="n">
        <v>-0.014</v>
      </c>
      <c r="E73" s="21" t="n">
        <v>1.53</v>
      </c>
      <c r="F73" s="21"/>
      <c r="G73" s="21" t="n">
        <v>0.069</v>
      </c>
      <c r="H73" s="21" t="n">
        <v>0.015</v>
      </c>
    </row>
    <row r="74" customFormat="false" ht="15" hidden="false" customHeight="false" outlineLevel="0" collapsed="false">
      <c r="A74" s="19" t="n">
        <v>74.91</v>
      </c>
      <c r="B74" s="20" t="s">
        <v>47</v>
      </c>
      <c r="C74" s="21" t="n">
        <v>0.307</v>
      </c>
      <c r="D74" s="21" t="n">
        <v>-0.007</v>
      </c>
      <c r="E74" s="21" t="n">
        <v>1.465</v>
      </c>
      <c r="F74" s="21"/>
      <c r="G74" s="21" t="n">
        <v>0.075</v>
      </c>
      <c r="H74" s="21" t="n">
        <v>-0.001</v>
      </c>
    </row>
    <row r="75" customFormat="false" ht="15" hidden="false" customHeight="false" outlineLevel="0" collapsed="false">
      <c r="A75" s="19" t="n">
        <v>75.94</v>
      </c>
      <c r="B75" s="20" t="s">
        <v>47</v>
      </c>
      <c r="C75" s="21" t="n">
        <v>0.298</v>
      </c>
      <c r="D75" s="21" t="n">
        <v>0.002</v>
      </c>
      <c r="E75" s="21" t="n">
        <v>1.396</v>
      </c>
      <c r="F75" s="21"/>
      <c r="G75" s="21" t="n">
        <v>0.079</v>
      </c>
      <c r="H75" s="21" t="n">
        <v>0</v>
      </c>
    </row>
    <row r="76" customFormat="false" ht="15" hidden="false" customHeight="false" outlineLevel="0" collapsed="false">
      <c r="A76" s="19" t="n">
        <v>76.97</v>
      </c>
      <c r="B76" s="20" t="s">
        <v>47</v>
      </c>
      <c r="C76" s="21" t="n">
        <v>0.296</v>
      </c>
      <c r="D76" s="21" t="n">
        <v>0.004</v>
      </c>
      <c r="E76" s="21" t="n">
        <v>1.326</v>
      </c>
      <c r="F76" s="21"/>
      <c r="G76" s="21" t="n">
        <v>0.076</v>
      </c>
      <c r="H76" s="21" t="n">
        <v>0</v>
      </c>
    </row>
    <row r="77" customFormat="false" ht="15" hidden="false" customHeight="false" outlineLevel="0" collapsed="false">
      <c r="A77" s="19" t="n">
        <v>78.01</v>
      </c>
      <c r="B77" s="20" t="s">
        <v>47</v>
      </c>
      <c r="C77" s="21" t="n">
        <v>0.288</v>
      </c>
      <c r="D77" s="21" t="n">
        <v>0.012</v>
      </c>
      <c r="E77" s="21" t="n">
        <v>1.257</v>
      </c>
      <c r="F77" s="21"/>
      <c r="G77" s="21" t="n">
        <v>0.071</v>
      </c>
      <c r="H77" s="21" t="n">
        <v>-0.015</v>
      </c>
    </row>
    <row r="78" customFormat="false" ht="15" hidden="false" customHeight="false" outlineLevel="0" collapsed="false">
      <c r="A78" s="19" t="n">
        <v>79.04</v>
      </c>
      <c r="B78" s="20" t="s">
        <v>47</v>
      </c>
      <c r="C78" s="21" t="n">
        <v>0.283</v>
      </c>
      <c r="D78" s="21" t="n">
        <v>0.017</v>
      </c>
      <c r="E78" s="21" t="n">
        <v>1.188</v>
      </c>
      <c r="F78" s="21"/>
      <c r="G78" s="21" t="n">
        <v>0.067</v>
      </c>
      <c r="H78" s="21" t="n">
        <v>-0.021</v>
      </c>
    </row>
    <row r="79" customFormat="false" ht="15" hidden="false" customHeight="false" outlineLevel="0" collapsed="false">
      <c r="A79" s="19" t="n">
        <v>80.07</v>
      </c>
      <c r="B79" s="20" t="s">
        <v>47</v>
      </c>
      <c r="C79" s="21" t="n">
        <v>0.283</v>
      </c>
      <c r="D79" s="21" t="n">
        <v>0.017</v>
      </c>
      <c r="E79" s="21" t="n">
        <v>1.131</v>
      </c>
      <c r="F79" s="21"/>
      <c r="G79" s="21" t="n">
        <v>0.067</v>
      </c>
      <c r="H79" s="21" t="n">
        <v>-0.021</v>
      </c>
    </row>
    <row r="80" customFormat="false" ht="15" hidden="false" customHeight="false" outlineLevel="0" collapsed="false">
      <c r="A80" s="19" t="n">
        <v>81.1</v>
      </c>
      <c r="B80" s="20" t="s">
        <v>47</v>
      </c>
      <c r="C80" s="21" t="n">
        <v>0.286</v>
      </c>
      <c r="D80" s="21" t="n">
        <v>0.014</v>
      </c>
      <c r="E80" s="21" t="n">
        <v>1.072</v>
      </c>
      <c r="F80" s="21"/>
      <c r="G80" s="21" t="n">
        <v>0.069</v>
      </c>
      <c r="H80" s="21" t="n">
        <v>-0.016</v>
      </c>
    </row>
    <row r="81" customFormat="false" ht="15" hidden="false" customHeight="false" outlineLevel="0" collapsed="false">
      <c r="A81" s="19" t="n">
        <v>82.13</v>
      </c>
      <c r="B81" s="20" t="s">
        <v>47</v>
      </c>
      <c r="C81" s="21" t="n">
        <v>0.282</v>
      </c>
      <c r="D81" s="21" t="n">
        <v>0.018</v>
      </c>
      <c r="E81" s="21" t="n">
        <v>1.005</v>
      </c>
      <c r="F81" s="21"/>
      <c r="G81" s="21" t="n">
        <v>0.066</v>
      </c>
      <c r="H81" s="21" t="n">
        <v>-0.022</v>
      </c>
    </row>
    <row r="82" customFormat="false" ht="15" hidden="false" customHeight="false" outlineLevel="0" collapsed="false">
      <c r="A82" s="19" t="n">
        <v>83.16</v>
      </c>
      <c r="B82" s="20" t="s">
        <v>47</v>
      </c>
      <c r="C82" s="21" t="n">
        <v>0.285</v>
      </c>
      <c r="D82" s="21" t="n">
        <v>0.015</v>
      </c>
      <c r="E82" s="21" t="n">
        <v>0.948</v>
      </c>
      <c r="F82" s="21"/>
      <c r="G82" s="21" t="n">
        <v>0.068</v>
      </c>
      <c r="H82" s="21" t="n">
        <v>-0.017</v>
      </c>
    </row>
    <row r="83" customFormat="false" ht="15" hidden="false" customHeight="false" outlineLevel="0" collapsed="false">
      <c r="A83" s="19" t="n">
        <v>84.19</v>
      </c>
      <c r="B83" s="20" t="s">
        <v>47</v>
      </c>
      <c r="C83" s="21" t="n">
        <v>0.287</v>
      </c>
      <c r="D83" s="21" t="n">
        <v>0.013</v>
      </c>
      <c r="E83" s="21" t="n">
        <v>0.884</v>
      </c>
      <c r="F83" s="21"/>
      <c r="G83" s="21" t="n">
        <v>0.07</v>
      </c>
      <c r="H83" s="21" t="n">
        <v>-0.016</v>
      </c>
    </row>
    <row r="84" customFormat="false" ht="15" hidden="false" customHeight="false" outlineLevel="0" collapsed="false">
      <c r="A84" s="19" t="n">
        <v>85.22</v>
      </c>
      <c r="B84" s="20" t="s">
        <v>47</v>
      </c>
      <c r="C84" s="21" t="n">
        <v>0.288</v>
      </c>
      <c r="D84" s="21" t="n">
        <v>0.012</v>
      </c>
      <c r="E84" s="21" t="n">
        <v>0.825</v>
      </c>
      <c r="F84" s="21"/>
      <c r="G84" s="21" t="n">
        <v>0.067</v>
      </c>
      <c r="H84" s="21" t="n">
        <v>-0.014</v>
      </c>
    </row>
    <row r="85" customFormat="false" ht="15" hidden="false" customHeight="false" outlineLevel="0" collapsed="false">
      <c r="A85" s="19" t="n">
        <v>86.26</v>
      </c>
      <c r="B85" s="20" t="s">
        <v>47</v>
      </c>
      <c r="C85" s="21" t="n">
        <v>0.289</v>
      </c>
      <c r="D85" s="21" t="n">
        <v>0.011</v>
      </c>
      <c r="E85" s="21" t="n">
        <v>0.763</v>
      </c>
      <c r="F85" s="21"/>
      <c r="G85" s="21" t="n">
        <v>0.059</v>
      </c>
      <c r="H85" s="21" t="n">
        <v>-0.012</v>
      </c>
    </row>
    <row r="86" customFormat="false" ht="15" hidden="false" customHeight="false" outlineLevel="0" collapsed="false">
      <c r="A86" s="19" t="n">
        <v>87.29</v>
      </c>
      <c r="B86" s="20" t="s">
        <v>47</v>
      </c>
      <c r="C86" s="21" t="n">
        <v>0.295</v>
      </c>
      <c r="D86" s="21" t="n">
        <v>0.005</v>
      </c>
      <c r="E86" s="21" t="n">
        <v>0.709</v>
      </c>
      <c r="F86" s="21"/>
      <c r="G86" s="21" t="n">
        <v>0.054</v>
      </c>
      <c r="H86" s="21" t="n">
        <v>0.011</v>
      </c>
    </row>
    <row r="87" customFormat="false" ht="15" hidden="false" customHeight="false" outlineLevel="0" collapsed="false">
      <c r="A87" s="19" t="n">
        <v>88.32</v>
      </c>
      <c r="B87" s="20" t="s">
        <v>47</v>
      </c>
      <c r="C87" s="21" t="n">
        <v>0.295</v>
      </c>
      <c r="D87" s="21" t="n">
        <v>0.005</v>
      </c>
      <c r="E87" s="21" t="n">
        <v>0.664</v>
      </c>
      <c r="F87" s="21"/>
      <c r="G87" s="21" t="n">
        <v>0.048</v>
      </c>
      <c r="H87" s="21" t="n">
        <v>0.003</v>
      </c>
    </row>
    <row r="88" customFormat="false" ht="15" hidden="false" customHeight="false" outlineLevel="0" collapsed="false">
      <c r="A88" s="19" t="n">
        <v>89.36</v>
      </c>
      <c r="B88" s="20" t="s">
        <v>47</v>
      </c>
      <c r="C88" s="21" t="n">
        <v>0.295</v>
      </c>
      <c r="D88" s="21" t="n">
        <v>0.005</v>
      </c>
      <c r="E88" s="21" t="n">
        <v>0.629</v>
      </c>
      <c r="F88" s="21"/>
      <c r="G88" s="21" t="n">
        <v>0.043</v>
      </c>
      <c r="H88" s="21" t="n">
        <v>0</v>
      </c>
    </row>
    <row r="89" customFormat="false" ht="15" hidden="false" customHeight="false" outlineLevel="0" collapsed="false">
      <c r="A89" s="19" t="n">
        <v>90.38</v>
      </c>
      <c r="B89" s="20" t="s">
        <v>47</v>
      </c>
      <c r="C89" s="21" t="n">
        <v>0.296</v>
      </c>
      <c r="D89" s="21" t="n">
        <v>0.004</v>
      </c>
      <c r="E89" s="21" t="n">
        <v>0.588</v>
      </c>
      <c r="F89" s="21"/>
      <c r="G89" s="21" t="n">
        <v>0.036</v>
      </c>
      <c r="H89" s="21" t="n">
        <v>0</v>
      </c>
    </row>
    <row r="90" customFormat="false" ht="15" hidden="false" customHeight="false" outlineLevel="0" collapsed="false">
      <c r="A90" s="19" t="n">
        <v>91.41</v>
      </c>
      <c r="B90" s="20" t="s">
        <v>47</v>
      </c>
      <c r="C90" s="21" t="n">
        <v>0.299</v>
      </c>
      <c r="D90" s="21" t="n">
        <v>0.001</v>
      </c>
      <c r="E90" s="21" t="n">
        <v>0.559</v>
      </c>
      <c r="F90" s="21"/>
      <c r="G90" s="21" t="n">
        <v>0.033</v>
      </c>
      <c r="H90" s="21" t="n">
        <v>0</v>
      </c>
    </row>
    <row r="91" customFormat="false" ht="15" hidden="false" customHeight="false" outlineLevel="0" collapsed="false">
      <c r="A91" s="19" t="n">
        <v>92.44</v>
      </c>
      <c r="B91" s="20" t="s">
        <v>47</v>
      </c>
      <c r="C91" s="21" t="n">
        <v>0.297</v>
      </c>
      <c r="D91" s="21" t="n">
        <v>0.003</v>
      </c>
      <c r="E91" s="21" t="n">
        <v>0.529</v>
      </c>
      <c r="F91" s="21"/>
      <c r="G91" s="21" t="n">
        <v>0.03</v>
      </c>
      <c r="H91" s="21" t="n">
        <v>0</v>
      </c>
    </row>
    <row r="92" customFormat="false" ht="15" hidden="false" customHeight="false" outlineLevel="0" collapsed="false">
      <c r="A92" s="19" t="n">
        <v>93.47</v>
      </c>
      <c r="B92" s="20" t="s">
        <v>47</v>
      </c>
      <c r="C92" s="21" t="n">
        <v>0.299</v>
      </c>
      <c r="D92" s="21" t="n">
        <v>0.001</v>
      </c>
      <c r="E92" s="21" t="n">
        <v>0.5</v>
      </c>
      <c r="F92" s="21"/>
      <c r="G92" s="21" t="n">
        <v>0.03</v>
      </c>
      <c r="H92" s="21" t="n">
        <v>0</v>
      </c>
    </row>
    <row r="93" customFormat="false" ht="15" hidden="false" customHeight="false" outlineLevel="0" collapsed="false">
      <c r="A93" s="19" t="n">
        <v>94.5</v>
      </c>
      <c r="B93" s="20" t="s">
        <v>47</v>
      </c>
      <c r="C93" s="21" t="n">
        <v>0.299</v>
      </c>
      <c r="D93" s="21" t="n">
        <v>0.001</v>
      </c>
      <c r="E93" s="21" t="n">
        <v>0.471</v>
      </c>
      <c r="F93" s="21"/>
      <c r="G93" s="21" t="n">
        <v>0.03</v>
      </c>
      <c r="H93" s="21" t="n">
        <v>0</v>
      </c>
    </row>
    <row r="94" customFormat="false" ht="15" hidden="false" customHeight="false" outlineLevel="0" collapsed="false">
      <c r="A94" s="19" t="n">
        <v>95.53</v>
      </c>
      <c r="B94" s="20" t="s">
        <v>47</v>
      </c>
      <c r="C94" s="21" t="n">
        <v>0.299</v>
      </c>
      <c r="D94" s="21" t="n">
        <v>0.001</v>
      </c>
      <c r="E94" s="21" t="n">
        <v>0.441</v>
      </c>
      <c r="F94" s="21"/>
      <c r="G94" s="21" t="n">
        <v>0.03</v>
      </c>
      <c r="H94" s="21" t="n">
        <v>0</v>
      </c>
    </row>
    <row r="95" customFormat="false" ht="15" hidden="false" customHeight="false" outlineLevel="0" collapsed="false">
      <c r="A95" s="19" t="n">
        <v>96.56</v>
      </c>
      <c r="B95" s="20" t="s">
        <v>47</v>
      </c>
      <c r="C95" s="21" t="n">
        <v>0.297</v>
      </c>
      <c r="D95" s="21" t="n">
        <v>0.003</v>
      </c>
      <c r="E95" s="21" t="n">
        <v>0.41</v>
      </c>
      <c r="F95" s="21"/>
      <c r="G95" s="21" t="n">
        <v>0.03</v>
      </c>
      <c r="H95" s="21" t="n">
        <v>0</v>
      </c>
    </row>
    <row r="96" customFormat="false" ht="15" hidden="false" customHeight="false" outlineLevel="0" collapsed="false">
      <c r="A96" s="19" t="n">
        <v>97.6</v>
      </c>
      <c r="B96" s="20" t="s">
        <v>47</v>
      </c>
      <c r="C96" s="21" t="n">
        <v>0.295</v>
      </c>
      <c r="D96" s="21" t="n">
        <v>0.005</v>
      </c>
      <c r="E96" s="21" t="n">
        <v>0.381</v>
      </c>
      <c r="F96" s="21"/>
      <c r="G96" s="21" t="n">
        <v>0.03</v>
      </c>
      <c r="H96" s="21" t="n">
        <v>0</v>
      </c>
    </row>
    <row r="97" customFormat="false" ht="15" hidden="false" customHeight="false" outlineLevel="0" collapsed="false">
      <c r="A97" s="19" t="n">
        <v>98.62</v>
      </c>
      <c r="B97" s="20" t="s">
        <v>47</v>
      </c>
      <c r="C97" s="21" t="n">
        <v>0.293</v>
      </c>
      <c r="D97" s="21" t="n">
        <v>0.007</v>
      </c>
      <c r="E97" s="21" t="n">
        <v>0.353</v>
      </c>
      <c r="F97" s="21"/>
      <c r="G97" s="21" t="n">
        <v>0.03</v>
      </c>
      <c r="H97" s="21" t="n">
        <v>0.009</v>
      </c>
    </row>
    <row r="98" customFormat="false" ht="15" hidden="false" customHeight="false" outlineLevel="0" collapsed="false">
      <c r="A98" s="19" t="n">
        <v>99.66</v>
      </c>
      <c r="B98" s="20" t="s">
        <v>51</v>
      </c>
      <c r="C98" s="21" t="n">
        <v>0.284</v>
      </c>
      <c r="D98" s="21" t="n">
        <v>0.016</v>
      </c>
      <c r="E98" s="21" t="n">
        <v>0.348</v>
      </c>
      <c r="F98" s="21"/>
      <c r="G98" s="21" t="n">
        <v>0</v>
      </c>
      <c r="H98" s="21" t="n">
        <v>-0.3</v>
      </c>
    </row>
    <row r="99" customFormat="false" ht="15" hidden="false" customHeight="false" outlineLevel="0" collapsed="false">
      <c r="A99" s="19" t="n">
        <v>100.69</v>
      </c>
      <c r="B99" s="20" t="s">
        <v>51</v>
      </c>
      <c r="C99" s="21" t="n">
        <v>0.316</v>
      </c>
      <c r="D99" s="21" t="n">
        <v>-0.016</v>
      </c>
      <c r="E99" s="21" t="n">
        <v>0.373</v>
      </c>
      <c r="F99" s="21"/>
      <c r="G99" s="21" t="n">
        <v>0</v>
      </c>
      <c r="H99" s="21" t="n">
        <v>-0.3</v>
      </c>
    </row>
    <row r="100" customFormat="false" ht="15" hidden="false" customHeight="false" outlineLevel="0" collapsed="false">
      <c r="A100" s="19" t="n">
        <v>101.72</v>
      </c>
      <c r="B100" s="20" t="s">
        <v>51</v>
      </c>
      <c r="C100" s="21" t="n">
        <v>0.395</v>
      </c>
      <c r="D100" s="21" t="n">
        <v>-0.095</v>
      </c>
      <c r="E100" s="21" t="n">
        <v>0.442</v>
      </c>
      <c r="F100" s="21"/>
      <c r="G100" s="21" t="n">
        <v>0</v>
      </c>
      <c r="H100" s="21" t="n">
        <v>-0.3</v>
      </c>
    </row>
    <row r="101" customFormat="false" ht="15" hidden="false" customHeight="false" outlineLevel="0" collapsed="false">
      <c r="A101" s="19" t="n">
        <v>102.74</v>
      </c>
      <c r="B101" s="20" t="s">
        <v>51</v>
      </c>
      <c r="C101" s="21" t="n">
        <v>0.354</v>
      </c>
      <c r="D101" s="21" t="n">
        <v>-0.054</v>
      </c>
      <c r="E101" s="21" t="n">
        <v>0.588</v>
      </c>
      <c r="F101" s="21"/>
      <c r="G101" s="21" t="n">
        <v>0</v>
      </c>
      <c r="H101" s="21" t="n">
        <v>-0.3</v>
      </c>
    </row>
    <row r="102" customFormat="false" ht="15" hidden="false" customHeight="false" outlineLevel="0" collapsed="false">
      <c r="A102" s="19" t="n">
        <v>103.79</v>
      </c>
      <c r="B102" s="20" t="s">
        <v>51</v>
      </c>
      <c r="C102" s="21" t="n">
        <v>0.321</v>
      </c>
      <c r="D102" s="21" t="n">
        <v>-0.021</v>
      </c>
      <c r="E102" s="21" t="n">
        <v>1.721</v>
      </c>
      <c r="F102" s="21"/>
      <c r="G102" s="21" t="n">
        <v>0</v>
      </c>
      <c r="H102" s="21" t="n">
        <v>-0.264</v>
      </c>
    </row>
    <row r="103" customFormat="false" ht="15" hidden="false" customHeight="false" outlineLevel="0" collapsed="false">
      <c r="A103" s="19" t="n">
        <v>104.83</v>
      </c>
      <c r="B103" s="20" t="s">
        <v>47</v>
      </c>
      <c r="C103" s="21" t="n">
        <v>0.334</v>
      </c>
      <c r="D103" s="21" t="n">
        <v>-0.034</v>
      </c>
      <c r="E103" s="21" t="n">
        <v>1.722</v>
      </c>
      <c r="F103" s="21"/>
      <c r="G103" s="21" t="n">
        <v>0.053</v>
      </c>
      <c r="H103" s="21" t="n">
        <v>0.04</v>
      </c>
    </row>
    <row r="104" customFormat="false" ht="15" hidden="false" customHeight="false" outlineLevel="0" collapsed="false">
      <c r="A104" s="19" t="n">
        <v>105.84</v>
      </c>
      <c r="B104" s="20" t="s">
        <v>47</v>
      </c>
      <c r="C104" s="21" t="n">
        <v>0.332</v>
      </c>
      <c r="D104" s="21" t="n">
        <v>-0.032</v>
      </c>
      <c r="E104" s="21" t="n">
        <v>1.684</v>
      </c>
      <c r="F104" s="21"/>
      <c r="G104" s="21" t="n">
        <v>0.054</v>
      </c>
      <c r="H104" s="21" t="n">
        <v>0.039</v>
      </c>
    </row>
    <row r="105" customFormat="false" ht="15" hidden="false" customHeight="false" outlineLevel="0" collapsed="false">
      <c r="A105" s="19" t="n">
        <v>106.88</v>
      </c>
      <c r="B105" s="20" t="s">
        <v>47</v>
      </c>
      <c r="C105" s="21" t="n">
        <v>0.325</v>
      </c>
      <c r="D105" s="21" t="n">
        <v>-0.025</v>
      </c>
      <c r="E105" s="21" t="n">
        <v>1.63</v>
      </c>
      <c r="F105" s="21"/>
      <c r="G105" s="21" t="n">
        <v>0.06</v>
      </c>
      <c r="H105" s="21" t="n">
        <v>0.03</v>
      </c>
    </row>
    <row r="106" customFormat="false" ht="15" hidden="false" customHeight="false" outlineLevel="0" collapsed="false">
      <c r="A106" s="19" t="n">
        <v>107.91</v>
      </c>
      <c r="B106" s="20" t="s">
        <v>47</v>
      </c>
      <c r="C106" s="21" t="n">
        <v>0.319</v>
      </c>
      <c r="D106" s="21" t="n">
        <v>-0.019</v>
      </c>
      <c r="E106" s="21" t="n">
        <v>1.569</v>
      </c>
      <c r="F106" s="21"/>
      <c r="G106" s="21" t="n">
        <v>0.065</v>
      </c>
      <c r="H106" s="21" t="n">
        <v>0.018</v>
      </c>
    </row>
    <row r="107" customFormat="false" ht="15" hidden="false" customHeight="false" outlineLevel="0" collapsed="false">
      <c r="A107" s="19" t="n">
        <v>108.96</v>
      </c>
      <c r="B107" s="20" t="s">
        <v>47</v>
      </c>
      <c r="C107" s="21" t="n">
        <v>0.312</v>
      </c>
      <c r="D107" s="21" t="n">
        <v>-0.012</v>
      </c>
      <c r="E107" s="21" t="n">
        <v>1.511</v>
      </c>
      <c r="F107" s="21"/>
      <c r="G107" s="21" t="n">
        <v>0.07</v>
      </c>
      <c r="H107" s="21" t="n">
        <v>0.013</v>
      </c>
    </row>
    <row r="108" customFormat="false" ht="15" hidden="false" customHeight="false" outlineLevel="0" collapsed="false">
      <c r="A108" s="19" t="n">
        <v>109.98</v>
      </c>
      <c r="B108" s="20" t="s">
        <v>47</v>
      </c>
      <c r="C108" s="21" t="n">
        <v>0.305</v>
      </c>
      <c r="D108" s="21" t="n">
        <v>-0.005</v>
      </c>
      <c r="E108" s="21" t="n">
        <v>1.442</v>
      </c>
      <c r="F108" s="21"/>
      <c r="G108" s="21" t="n">
        <v>0.076</v>
      </c>
      <c r="H108" s="21" t="n">
        <v>0</v>
      </c>
    </row>
    <row r="109" customFormat="false" ht="15" hidden="false" customHeight="false" outlineLevel="0" collapsed="false">
      <c r="A109" s="19" t="n">
        <v>111.02</v>
      </c>
      <c r="B109" s="20" t="s">
        <v>47</v>
      </c>
      <c r="C109" s="21" t="n">
        <v>0.298</v>
      </c>
      <c r="D109" s="21" t="n">
        <v>0.002</v>
      </c>
      <c r="E109" s="21" t="n">
        <v>1.37</v>
      </c>
      <c r="F109" s="21"/>
      <c r="G109" s="21" t="n">
        <v>0.079</v>
      </c>
      <c r="H109" s="21" t="n">
        <v>0</v>
      </c>
    </row>
    <row r="110" customFormat="false" ht="15" hidden="false" customHeight="false" outlineLevel="0" collapsed="false">
      <c r="A110" s="19" t="n">
        <v>112.05</v>
      </c>
      <c r="B110" s="20" t="s">
        <v>47</v>
      </c>
      <c r="C110" s="21" t="n">
        <v>0.294</v>
      </c>
      <c r="D110" s="21" t="n">
        <v>0.006</v>
      </c>
      <c r="E110" s="21" t="n">
        <v>1.298</v>
      </c>
      <c r="F110" s="21"/>
      <c r="G110" s="21" t="n">
        <v>0.075</v>
      </c>
      <c r="H110" s="21" t="n">
        <v>0</v>
      </c>
    </row>
    <row r="111" customFormat="false" ht="15" hidden="false" customHeight="false" outlineLevel="0" collapsed="false">
      <c r="A111" s="19" t="n">
        <v>113.09</v>
      </c>
      <c r="B111" s="20" t="s">
        <v>47</v>
      </c>
      <c r="C111" s="21" t="n">
        <v>0.289</v>
      </c>
      <c r="D111" s="21" t="n">
        <v>0.011</v>
      </c>
      <c r="E111" s="21" t="n">
        <v>1.232</v>
      </c>
      <c r="F111" s="21"/>
      <c r="G111" s="21" t="n">
        <v>0.071</v>
      </c>
      <c r="H111" s="21" t="n">
        <v>-0.015</v>
      </c>
    </row>
    <row r="112" customFormat="false" ht="15" hidden="false" customHeight="false" outlineLevel="0" collapsed="false">
      <c r="A112" s="19" t="n">
        <v>114.16</v>
      </c>
      <c r="B112" s="20" t="s">
        <v>47</v>
      </c>
      <c r="C112" s="21" t="n">
        <v>0.283</v>
      </c>
      <c r="D112" s="21" t="n">
        <v>0.017</v>
      </c>
      <c r="E112" s="21" t="n">
        <v>1.161</v>
      </c>
      <c r="F112" s="21"/>
      <c r="G112" s="21" t="n">
        <v>0.066</v>
      </c>
      <c r="H112" s="21" t="n">
        <v>-0.023</v>
      </c>
    </row>
    <row r="113" customFormat="false" ht="15" hidden="false" customHeight="false" outlineLevel="0" collapsed="false">
      <c r="A113" s="19" t="n">
        <v>115.16</v>
      </c>
      <c r="B113" s="20" t="s">
        <v>47</v>
      </c>
      <c r="C113" s="21" t="n">
        <v>0.284</v>
      </c>
      <c r="D113" s="21" t="n">
        <v>0.016</v>
      </c>
      <c r="E113" s="21" t="n">
        <v>1.104</v>
      </c>
      <c r="F113" s="21"/>
      <c r="G113" s="21" t="n">
        <v>0.067</v>
      </c>
      <c r="H113" s="21" t="n">
        <v>-0.02</v>
      </c>
    </row>
    <row r="114" customFormat="false" ht="15" hidden="false" customHeight="false" outlineLevel="0" collapsed="false">
      <c r="A114" s="19" t="n">
        <v>116.2</v>
      </c>
      <c r="B114" s="20" t="s">
        <v>47</v>
      </c>
      <c r="C114" s="21" t="n">
        <v>0.28</v>
      </c>
      <c r="D114" s="21" t="n">
        <v>0.02</v>
      </c>
      <c r="E114" s="21" t="n">
        <v>1.033</v>
      </c>
      <c r="F114" s="21"/>
      <c r="G114" s="21" t="n">
        <v>0.064</v>
      </c>
      <c r="H114" s="21" t="n">
        <v>-0.025</v>
      </c>
    </row>
    <row r="115" customFormat="false" ht="15" hidden="false" customHeight="false" outlineLevel="0" collapsed="false">
      <c r="A115" s="19" t="n">
        <v>117.23</v>
      </c>
      <c r="B115" s="20" t="s">
        <v>47</v>
      </c>
      <c r="C115" s="21" t="n">
        <v>0.284</v>
      </c>
      <c r="D115" s="21" t="n">
        <v>0.016</v>
      </c>
      <c r="E115" s="21" t="n">
        <v>0.974</v>
      </c>
      <c r="F115" s="21"/>
      <c r="G115" s="21" t="n">
        <v>0.067</v>
      </c>
      <c r="H115" s="21" t="n">
        <v>-0.02</v>
      </c>
    </row>
    <row r="116" customFormat="false" ht="15" hidden="false" customHeight="false" outlineLevel="0" collapsed="false">
      <c r="A116" s="19" t="n">
        <v>118.27</v>
      </c>
      <c r="B116" s="20" t="s">
        <v>47</v>
      </c>
      <c r="C116" s="21" t="n">
        <v>0.283</v>
      </c>
      <c r="D116" s="21" t="n">
        <v>0.017</v>
      </c>
      <c r="E116" s="21" t="n">
        <v>0.917</v>
      </c>
      <c r="F116" s="21"/>
      <c r="G116" s="21" t="n">
        <v>0.067</v>
      </c>
      <c r="H116" s="21" t="n">
        <v>-0.018</v>
      </c>
    </row>
    <row r="117" customFormat="false" ht="15" hidden="false" customHeight="false" outlineLevel="0" collapsed="false">
      <c r="A117" s="19" t="n">
        <v>119.3</v>
      </c>
      <c r="B117" s="20" t="s">
        <v>47</v>
      </c>
      <c r="C117" s="21" t="n">
        <v>0.284</v>
      </c>
      <c r="D117" s="21" t="n">
        <v>0.016</v>
      </c>
      <c r="E117" s="21" t="n">
        <v>0.856</v>
      </c>
      <c r="F117" s="21"/>
      <c r="G117" s="21" t="n">
        <v>0.067</v>
      </c>
      <c r="H117" s="21" t="n">
        <v>-0.018</v>
      </c>
    </row>
    <row r="118" customFormat="false" ht="15" hidden="false" customHeight="false" outlineLevel="0" collapsed="false">
      <c r="A118" s="19" t="n">
        <v>120.34</v>
      </c>
      <c r="B118" s="20" t="s">
        <v>47</v>
      </c>
      <c r="C118" s="21" t="n">
        <v>0.289</v>
      </c>
      <c r="D118" s="21" t="n">
        <v>0.011</v>
      </c>
      <c r="E118" s="21" t="n">
        <v>0.795</v>
      </c>
      <c r="F118" s="21"/>
      <c r="G118" s="21" t="n">
        <v>0.064</v>
      </c>
      <c r="H118" s="21" t="n">
        <v>-0.011</v>
      </c>
    </row>
    <row r="119" customFormat="false" ht="15" hidden="false" customHeight="false" outlineLevel="0" collapsed="false">
      <c r="A119" s="19" t="n">
        <v>121.37</v>
      </c>
      <c r="B119" s="20" t="s">
        <v>47</v>
      </c>
      <c r="C119" s="21" t="n">
        <v>0.288</v>
      </c>
      <c r="D119" s="21" t="n">
        <v>0.012</v>
      </c>
      <c r="E119" s="21" t="n">
        <v>0.741</v>
      </c>
      <c r="F119" s="21"/>
      <c r="G119" s="21" t="n">
        <v>0.055</v>
      </c>
      <c r="H119" s="21" t="n">
        <v>-0.015</v>
      </c>
    </row>
    <row r="120" customFormat="false" ht="15" hidden="false" customHeight="false" outlineLevel="0" collapsed="false">
      <c r="A120" s="19" t="n">
        <v>122.4</v>
      </c>
      <c r="B120" s="20" t="s">
        <v>47</v>
      </c>
      <c r="C120" s="21" t="n">
        <v>0.292</v>
      </c>
      <c r="D120" s="21" t="n">
        <v>0.008</v>
      </c>
      <c r="E120" s="21" t="n">
        <v>0.689</v>
      </c>
      <c r="F120" s="21"/>
      <c r="G120" s="21" t="n">
        <v>0.05</v>
      </c>
      <c r="H120" s="21" t="n">
        <v>-0.008</v>
      </c>
    </row>
    <row r="121" customFormat="false" ht="15" hidden="false" customHeight="false" outlineLevel="0" collapsed="false">
      <c r="A121" s="19" t="n">
        <v>123.45</v>
      </c>
      <c r="B121" s="20" t="s">
        <v>47</v>
      </c>
      <c r="C121" s="21" t="n">
        <v>0.291</v>
      </c>
      <c r="D121" s="21" t="n">
        <v>0.009</v>
      </c>
      <c r="E121" s="21" t="n">
        <v>0.647</v>
      </c>
      <c r="F121" s="21"/>
      <c r="G121" s="21" t="n">
        <v>0.043</v>
      </c>
      <c r="H121" s="21" t="n">
        <v>-0.016</v>
      </c>
    </row>
    <row r="122" customFormat="false" ht="15" hidden="false" customHeight="false" outlineLevel="0" collapsed="false">
      <c r="A122" s="19" t="n">
        <v>124.47</v>
      </c>
      <c r="B122" s="20" t="s">
        <v>47</v>
      </c>
      <c r="C122" s="21" t="n">
        <v>0.295</v>
      </c>
      <c r="D122" s="21" t="n">
        <v>0.005</v>
      </c>
      <c r="E122" s="21" t="n">
        <v>0.608</v>
      </c>
      <c r="F122" s="21"/>
      <c r="G122" s="21" t="n">
        <v>0.039</v>
      </c>
      <c r="H122" s="21" t="n">
        <v>0</v>
      </c>
    </row>
    <row r="123" customFormat="false" ht="15" hidden="false" customHeight="false" outlineLevel="0" collapsed="false">
      <c r="A123" s="19" t="n">
        <v>125.5</v>
      </c>
      <c r="B123" s="20" t="s">
        <v>47</v>
      </c>
      <c r="C123" s="21" t="n">
        <v>0.295</v>
      </c>
      <c r="D123" s="21" t="n">
        <v>0.005</v>
      </c>
      <c r="E123" s="21" t="n">
        <v>0.579</v>
      </c>
      <c r="F123" s="21"/>
      <c r="G123" s="21" t="n">
        <v>0.035</v>
      </c>
      <c r="H123" s="21" t="n">
        <v>0</v>
      </c>
    </row>
    <row r="124" customFormat="false" ht="15" hidden="false" customHeight="false" outlineLevel="0" collapsed="false">
      <c r="A124" s="19" t="n">
        <v>126.53</v>
      </c>
      <c r="B124" s="20" t="s">
        <v>47</v>
      </c>
      <c r="C124" s="21" t="n">
        <v>0.299</v>
      </c>
      <c r="D124" s="21" t="n">
        <v>0.001</v>
      </c>
      <c r="E124" s="21" t="n">
        <v>0.548</v>
      </c>
      <c r="F124" s="21"/>
      <c r="G124" s="21" t="n">
        <v>0.031</v>
      </c>
      <c r="H124" s="21" t="n">
        <v>0</v>
      </c>
    </row>
    <row r="125" customFormat="false" ht="15" hidden="false" customHeight="false" outlineLevel="0" collapsed="false">
      <c r="A125" s="19" t="n">
        <v>127.56</v>
      </c>
      <c r="B125" s="20" t="s">
        <v>47</v>
      </c>
      <c r="C125" s="21" t="n">
        <v>0.296</v>
      </c>
      <c r="D125" s="21" t="n">
        <v>0.004</v>
      </c>
      <c r="E125" s="21" t="n">
        <v>0.518</v>
      </c>
      <c r="F125" s="21"/>
      <c r="G125" s="21" t="n">
        <v>0.03</v>
      </c>
      <c r="H125" s="21" t="n">
        <v>0</v>
      </c>
    </row>
    <row r="126" customFormat="false" ht="15" hidden="false" customHeight="false" outlineLevel="0" collapsed="false">
      <c r="A126" s="19" t="n">
        <v>128.59</v>
      </c>
      <c r="B126" s="20" t="s">
        <v>47</v>
      </c>
      <c r="C126" s="21" t="n">
        <v>0.297</v>
      </c>
      <c r="D126" s="21" t="n">
        <v>0.003</v>
      </c>
      <c r="E126" s="21" t="n">
        <v>0.49</v>
      </c>
      <c r="F126" s="21"/>
      <c r="G126" s="21" t="n">
        <v>0.03</v>
      </c>
      <c r="H126" s="21" t="n">
        <v>0</v>
      </c>
    </row>
    <row r="127" customFormat="false" ht="15" hidden="false" customHeight="false" outlineLevel="0" collapsed="false">
      <c r="A127" s="19" t="n">
        <v>129.62</v>
      </c>
      <c r="B127" s="20" t="s">
        <v>47</v>
      </c>
      <c r="C127" s="21" t="n">
        <v>0.295</v>
      </c>
      <c r="D127" s="21" t="n">
        <v>0.005</v>
      </c>
      <c r="E127" s="21" t="n">
        <v>0.461</v>
      </c>
      <c r="F127" s="21"/>
      <c r="G127" s="21" t="n">
        <v>0.03</v>
      </c>
      <c r="H127" s="21" t="n">
        <v>0</v>
      </c>
    </row>
    <row r="128" customFormat="false" ht="15" hidden="false" customHeight="false" outlineLevel="0" collapsed="false">
      <c r="A128" s="19" t="n">
        <v>130.65</v>
      </c>
      <c r="B128" s="20" t="s">
        <v>47</v>
      </c>
      <c r="C128" s="21" t="n">
        <v>0.299</v>
      </c>
      <c r="D128" s="21" t="n">
        <v>0.001</v>
      </c>
      <c r="E128" s="21" t="n">
        <v>0.43</v>
      </c>
      <c r="F128" s="21"/>
      <c r="G128" s="21" t="n">
        <v>0.03</v>
      </c>
      <c r="H128" s="21" t="n">
        <v>0</v>
      </c>
    </row>
    <row r="129" customFormat="false" ht="15" hidden="false" customHeight="false" outlineLevel="0" collapsed="false">
      <c r="A129" s="19" t="n">
        <v>131.71</v>
      </c>
      <c r="B129" s="20" t="s">
        <v>47</v>
      </c>
      <c r="C129" s="21" t="n">
        <v>0.293</v>
      </c>
      <c r="D129" s="21" t="n">
        <v>0.007</v>
      </c>
      <c r="E129" s="21" t="n">
        <v>0.4</v>
      </c>
      <c r="F129" s="21"/>
      <c r="G129" s="21" t="n">
        <v>0.03</v>
      </c>
      <c r="H129" s="21" t="n">
        <v>0</v>
      </c>
    </row>
    <row r="130" customFormat="false" ht="15" hidden="false" customHeight="false" outlineLevel="0" collapsed="false">
      <c r="A130" s="19" t="n">
        <v>132.72</v>
      </c>
      <c r="B130" s="20" t="s">
        <v>47</v>
      </c>
      <c r="C130" s="21" t="n">
        <v>0.291</v>
      </c>
      <c r="D130" s="21" t="n">
        <v>0.009</v>
      </c>
      <c r="E130" s="21" t="n">
        <v>0.369</v>
      </c>
      <c r="F130" s="21"/>
      <c r="G130" s="21" t="n">
        <v>0.03</v>
      </c>
      <c r="H130" s="21" t="n">
        <v>-0.012</v>
      </c>
    </row>
    <row r="131" customFormat="false" ht="15" hidden="false" customHeight="false" outlineLevel="0" collapsed="false">
      <c r="A131" s="19" t="n">
        <v>133.74</v>
      </c>
      <c r="B131" s="20" t="s">
        <v>51</v>
      </c>
      <c r="C131" s="21" t="n">
        <v>0.278</v>
      </c>
      <c r="D131" s="21" t="n">
        <v>0.022</v>
      </c>
      <c r="E131" s="21" t="n">
        <v>0.344</v>
      </c>
      <c r="F131" s="21"/>
      <c r="G131" s="21" t="n">
        <v>0</v>
      </c>
      <c r="H131" s="21" t="n">
        <v>-0.3</v>
      </c>
    </row>
    <row r="132" customFormat="false" ht="15" hidden="false" customHeight="false" outlineLevel="0" collapsed="false">
      <c r="A132" s="19" t="n">
        <v>134.78</v>
      </c>
      <c r="B132" s="20" t="s">
        <v>51</v>
      </c>
      <c r="C132" s="21" t="n">
        <v>0.292</v>
      </c>
      <c r="D132" s="21" t="n">
        <v>0.008</v>
      </c>
      <c r="E132" s="21" t="n">
        <v>0.353</v>
      </c>
      <c r="F132" s="21"/>
      <c r="G132" s="21" t="n">
        <v>0</v>
      </c>
      <c r="H132" s="21" t="n">
        <v>-0.3</v>
      </c>
    </row>
    <row r="133" customFormat="false" ht="15" hidden="false" customHeight="false" outlineLevel="0" collapsed="false">
      <c r="A133" s="19" t="n">
        <v>135.79</v>
      </c>
      <c r="B133" s="20" t="s">
        <v>51</v>
      </c>
      <c r="C133" s="21" t="n">
        <v>0.347</v>
      </c>
      <c r="D133" s="21" t="n">
        <v>-0.047</v>
      </c>
      <c r="E133" s="21" t="n">
        <v>0.387</v>
      </c>
      <c r="F133" s="21"/>
      <c r="G133" s="21" t="n">
        <v>0</v>
      </c>
      <c r="H133" s="21" t="n">
        <v>-0.3</v>
      </c>
    </row>
    <row r="134" customFormat="false" ht="15" hidden="false" customHeight="false" outlineLevel="0" collapsed="false">
      <c r="A134" s="19" t="n">
        <v>136.82</v>
      </c>
      <c r="B134" s="20" t="s">
        <v>51</v>
      </c>
      <c r="C134" s="21" t="n">
        <v>0.384</v>
      </c>
      <c r="D134" s="21" t="n">
        <v>-0.084</v>
      </c>
      <c r="E134" s="21" t="n">
        <v>0.484</v>
      </c>
      <c r="F134" s="21"/>
      <c r="G134" s="21" t="n">
        <v>0</v>
      </c>
      <c r="H134" s="21" t="n">
        <v>-0.3</v>
      </c>
    </row>
    <row r="135" customFormat="false" ht="15" hidden="false" customHeight="false" outlineLevel="0" collapsed="false">
      <c r="A135" s="19" t="n">
        <v>138.03</v>
      </c>
      <c r="B135" s="20" t="s">
        <v>51</v>
      </c>
      <c r="C135" s="21" t="n">
        <v>0.328</v>
      </c>
      <c r="D135" s="21" t="n">
        <v>-0.028</v>
      </c>
      <c r="E135" s="21" t="n">
        <v>1.267</v>
      </c>
      <c r="F135" s="21"/>
      <c r="G135" s="21" t="n">
        <v>0</v>
      </c>
      <c r="H135" s="21" t="n">
        <v>-0.3</v>
      </c>
    </row>
    <row r="136" customFormat="false" ht="15" hidden="false" customHeight="false" outlineLevel="0" collapsed="false">
      <c r="A136" s="19" t="n">
        <v>139.08</v>
      </c>
      <c r="B136" s="20" t="s">
        <v>51</v>
      </c>
      <c r="C136" s="21" t="n">
        <v>0.313</v>
      </c>
      <c r="D136" s="21" t="n">
        <v>-0.013</v>
      </c>
      <c r="E136" s="21" t="n">
        <v>1.717</v>
      </c>
      <c r="F136" s="21"/>
      <c r="G136" s="21" t="n">
        <v>0</v>
      </c>
      <c r="H136" s="21" t="n">
        <v>-0.1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5"/>
    <col collapsed="false" customWidth="true" hidden="false" outlineLevel="0" max="7" min="6" style="0" width="18"/>
  </cols>
  <sheetData>
    <row r="1" customFormat="false" ht="26.85" hidden="false" customHeight="false" outlineLevel="0" collapsed="false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I1" s="2" t="s">
        <v>61</v>
      </c>
    </row>
    <row r="2" customFormat="false" ht="15" hidden="false" customHeight="false" outlineLevel="0" collapsed="false">
      <c r="A2" s="5" t="s">
        <v>3</v>
      </c>
      <c r="B2" s="5" t="n">
        <v>1</v>
      </c>
      <c r="C2" s="19" t="n">
        <v>20.38</v>
      </c>
      <c r="D2" s="19" t="n">
        <v>24.91</v>
      </c>
      <c r="E2" s="11" t="n">
        <f aca="false">IF(OR(C2="",D2=""),"",D2-C2)</f>
        <v>4.53</v>
      </c>
      <c r="F2" s="21" t="n">
        <v>0.021</v>
      </c>
      <c r="G2" s="21" t="n">
        <v>-0.012</v>
      </c>
    </row>
    <row r="3" customFormat="false" ht="15" hidden="false" customHeight="false" outlineLevel="0" collapsed="false">
      <c r="A3" s="5" t="s">
        <v>3</v>
      </c>
      <c r="B3" s="5" t="n">
        <v>2</v>
      </c>
      <c r="C3" s="19" t="n">
        <v>44.51</v>
      </c>
      <c r="D3" s="19" t="n">
        <v>49.03</v>
      </c>
      <c r="E3" s="11" t="n">
        <f aca="false">IF(OR(C3="",D3=""),"",D3-C3)</f>
        <v>4.52</v>
      </c>
      <c r="F3" s="21" t="n">
        <v>0.014</v>
      </c>
      <c r="G3" s="21" t="n">
        <v>-0.012</v>
      </c>
    </row>
    <row r="4" customFormat="false" ht="15" hidden="false" customHeight="false" outlineLevel="0" collapsed="false">
      <c r="A4" s="5" t="s">
        <v>3</v>
      </c>
      <c r="B4" s="5" t="n">
        <v>3</v>
      </c>
      <c r="C4" s="19" t="n">
        <v>68.4</v>
      </c>
      <c r="D4" s="19" t="n">
        <v>73.06</v>
      </c>
      <c r="E4" s="11" t="n">
        <f aca="false">IF(OR(C4="",D4=""),"",D4-C4)</f>
        <v>4.66</v>
      </c>
      <c r="F4" s="21" t="n">
        <v>0.005</v>
      </c>
      <c r="G4" s="21" t="n">
        <v>-0.015</v>
      </c>
    </row>
    <row r="5" customFormat="false" ht="15" hidden="false" customHeight="false" outlineLevel="0" collapsed="false">
      <c r="A5" s="5" t="s">
        <v>3</v>
      </c>
      <c r="B5" s="5" t="n">
        <v>4</v>
      </c>
      <c r="C5" s="19" t="n">
        <v>92.31</v>
      </c>
      <c r="D5" s="19" t="n">
        <v>96.96</v>
      </c>
      <c r="E5" s="11" t="n">
        <f aca="false">IF(OR(C5="",D5=""),"",D5-C5)</f>
        <v>4.64999999999999</v>
      </c>
      <c r="F5" s="21" t="n">
        <v>0.019</v>
      </c>
      <c r="G5" s="21"/>
    </row>
    <row r="6" customFormat="false" ht="15" hidden="false" customHeight="false" outlineLevel="0" collapsed="false">
      <c r="A6" s="5" t="s">
        <v>4</v>
      </c>
      <c r="B6" s="5" t="n">
        <v>1</v>
      </c>
      <c r="C6" s="19" t="n">
        <v>30.23</v>
      </c>
      <c r="D6" s="19" t="n">
        <v>36.16</v>
      </c>
      <c r="E6" s="11" t="n">
        <f aca="false">IF(OR(C6="",D6=""),"",D6-C6)</f>
        <v>5.93</v>
      </c>
      <c r="F6" s="21" t="n">
        <v>-0.007</v>
      </c>
      <c r="G6" s="21" t="n">
        <v>-0.029</v>
      </c>
    </row>
    <row r="7" customFormat="false" ht="15" hidden="false" customHeight="false" outlineLevel="0" collapsed="false">
      <c r="A7" s="5" t="s">
        <v>4</v>
      </c>
      <c r="B7" s="5" t="n">
        <v>2</v>
      </c>
      <c r="C7" s="19" t="n">
        <v>64.09</v>
      </c>
      <c r="D7" s="19" t="n">
        <v>70.06</v>
      </c>
      <c r="E7" s="11" t="n">
        <f aca="false">IF(OR(C7="",D7=""),"",D7-C7)</f>
        <v>5.97</v>
      </c>
      <c r="F7" s="21" t="n">
        <v>-0.001</v>
      </c>
      <c r="G7" s="21" t="n">
        <v>-0.03</v>
      </c>
    </row>
    <row r="8" customFormat="false" ht="15" hidden="false" customHeight="false" outlineLevel="0" collapsed="false">
      <c r="A8" s="5" t="s">
        <v>4</v>
      </c>
      <c r="B8" s="5" t="n">
        <v>3</v>
      </c>
      <c r="C8" s="19" t="n">
        <v>98.73</v>
      </c>
      <c r="D8" s="19" t="n">
        <v>104.72</v>
      </c>
      <c r="E8" s="11" t="n">
        <f aca="false">IF(OR(C8="",D8=""),"",D8-C8)</f>
        <v>5.99</v>
      </c>
      <c r="F8" s="21" t="n">
        <v>0.007</v>
      </c>
      <c r="G8" s="21" t="n">
        <v>-0.034</v>
      </c>
    </row>
    <row r="9" customFormat="false" ht="15" hidden="false" customHeight="false" outlineLevel="0" collapsed="false">
      <c r="A9" s="5" t="s">
        <v>4</v>
      </c>
      <c r="B9" s="5" t="n">
        <v>4</v>
      </c>
      <c r="C9" s="19" t="n">
        <v>133.43</v>
      </c>
      <c r="D9" s="19" t="n">
        <v>139.39</v>
      </c>
      <c r="E9" s="11" t="n">
        <f aca="false">IF(OR(C9="",D9=""),"",D9-C9)</f>
        <v>5.95999999999998</v>
      </c>
      <c r="F9" s="21" t="n">
        <v>0.009</v>
      </c>
      <c r="G9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62</v>
      </c>
    </row>
    <row r="3" customFormat="false" ht="15" hidden="false" customHeight="false" outlineLevel="0" collapsed="false">
      <c r="A3" s="3" t="s">
        <v>63</v>
      </c>
      <c r="B3" s="3" t="s">
        <v>64</v>
      </c>
    </row>
    <row r="4" customFormat="false" ht="26.85" hidden="false" customHeight="false" outlineLevel="0" collapsed="false">
      <c r="A4" s="22" t="s">
        <v>65</v>
      </c>
      <c r="B4" s="4" t="s">
        <v>66</v>
      </c>
    </row>
    <row r="5" customFormat="false" ht="26.85" hidden="false" customHeight="false" outlineLevel="0" collapsed="false">
      <c r="A5" s="22" t="s">
        <v>67</v>
      </c>
      <c r="B5" s="4" t="s">
        <v>68</v>
      </c>
    </row>
    <row r="6" customFormat="false" ht="26.85" hidden="false" customHeight="false" outlineLevel="0" collapsed="false">
      <c r="A6" s="22" t="s">
        <v>69</v>
      </c>
      <c r="B6" s="4" t="s">
        <v>70</v>
      </c>
    </row>
    <row r="7" customFormat="false" ht="39.55" hidden="false" customHeight="false" outlineLevel="0" collapsed="false">
      <c r="A7" s="22" t="s">
        <v>71</v>
      </c>
      <c r="B7" s="4" t="s">
        <v>72</v>
      </c>
    </row>
    <row r="8" customFormat="false" ht="26.85" hidden="false" customHeight="false" outlineLevel="0" collapsed="false">
      <c r="A8" s="22" t="s">
        <v>73</v>
      </c>
      <c r="B8" s="4" t="s">
        <v>74</v>
      </c>
    </row>
    <row r="9" customFormat="false" ht="26.85" hidden="false" customHeight="false" outlineLevel="0" collapsed="false">
      <c r="A9" s="22" t="s">
        <v>75</v>
      </c>
      <c r="B9" s="4" t="s">
        <v>76</v>
      </c>
    </row>
    <row r="10" customFormat="false" ht="15" hidden="false" customHeight="false" outlineLevel="0" collapsed="false">
      <c r="A10" s="22" t="s">
        <v>77</v>
      </c>
      <c r="B10" s="4" t="s">
        <v>78</v>
      </c>
    </row>
    <row r="11" customFormat="false" ht="39.55" hidden="false" customHeight="false" outlineLevel="0" collapsed="false">
      <c r="A11" s="22" t="s">
        <v>79</v>
      </c>
      <c r="B11" s="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2026-10-25T04:39:25Z</dcterms:created>
  <dc:creator>openpyxl</dc:creator>
  <dc:description/>
  <dc:language>en-US</dc:language>
  <cp:lastModifiedBy/>
  <dcterms:modified xsi:type="dcterms:W3CDTF">2026-10-25T12:39:27Z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